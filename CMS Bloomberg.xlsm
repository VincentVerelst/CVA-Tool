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Q228YH\Documents\CVA Tool Python\CVA-Tool\"/>
    </mc:Choice>
  </mc:AlternateContent>
  <xr:revisionPtr revIDLastSave="0" documentId="13_ncr:1_{3BB0CB7E-F431-4EE1-91A0-F4BBA7DA470D}" xr6:coauthVersionLast="44" xr6:coauthVersionMax="44" xr10:uidLastSave="{00000000-0000-0000-0000-000000000000}"/>
  <bookViews>
    <workbookView xWindow="-108" yWindow="-108" windowWidth="23256" windowHeight="12576" activeTab="2" xr2:uid="{FFBF1A6C-B47D-49F3-83CC-54851DBC1B24}"/>
  </bookViews>
  <sheets>
    <sheet name="Reset Rates + Convex" sheetId="1" r:id="rId1"/>
    <sheet name="CMS cashflows" sheetId="2" r:id="rId2"/>
    <sheet name="BBG Screenshot" sheetId="3" r:id="rId3"/>
    <sheet name="Manual Calc" sheetId="4" r:id="rId4"/>
    <sheet name="USD LIBOR3M" sheetId="5" r:id="rId5"/>
    <sheet name="USDOIS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4" l="1"/>
  <c r="B9" i="4" s="1"/>
  <c r="B10" i="4" s="1"/>
  <c r="B11" i="4" s="1"/>
  <c r="B12" i="4" s="1"/>
  <c r="H7" i="4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C5" i="4"/>
  <c r="D4" i="4"/>
  <c r="E4" i="4"/>
  <c r="F4" i="4" l="1"/>
  <c r="C9" i="4"/>
  <c r="C10" i="4"/>
  <c r="C11" i="4"/>
  <c r="C8" i="4"/>
  <c r="C12" i="4" s="1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7" i="4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K9" i="4"/>
  <c r="N9" i="4"/>
  <c r="K17" i="4"/>
  <c r="N17" i="4"/>
  <c r="K25" i="4"/>
  <c r="N25" i="4"/>
  <c r="K10" i="4"/>
  <c r="N10" i="4"/>
  <c r="K18" i="4"/>
  <c r="N18" i="4"/>
  <c r="K26" i="4"/>
  <c r="N26" i="4"/>
  <c r="K11" i="4"/>
  <c r="N11" i="4"/>
  <c r="K19" i="4"/>
  <c r="N19" i="4"/>
  <c r="K12" i="4"/>
  <c r="N12" i="4"/>
  <c r="K20" i="4"/>
  <c r="N20" i="4"/>
  <c r="K13" i="4"/>
  <c r="N13" i="4"/>
  <c r="K21" i="4"/>
  <c r="N21" i="4"/>
  <c r="K14" i="4"/>
  <c r="N14" i="4"/>
  <c r="K22" i="4"/>
  <c r="N22" i="4"/>
  <c r="K15" i="4"/>
  <c r="N15" i="4"/>
  <c r="K23" i="4"/>
  <c r="N23" i="4"/>
  <c r="K16" i="4"/>
  <c r="N16" i="4"/>
  <c r="K24" i="4"/>
  <c r="N24" i="4"/>
  <c r="K8" i="4"/>
  <c r="N8" i="4"/>
  <c r="K7" i="4"/>
  <c r="N7" i="4"/>
  <c r="E12" i="4"/>
  <c r="E11" i="4"/>
  <c r="E10" i="4"/>
  <c r="E9" i="4"/>
  <c r="E8" i="4"/>
  <c r="O24" i="4" l="1"/>
  <c r="L24" i="4"/>
  <c r="O16" i="4"/>
  <c r="L16" i="4"/>
  <c r="M16" i="4" s="1"/>
  <c r="O23" i="4"/>
  <c r="L23" i="4"/>
  <c r="O15" i="4"/>
  <c r="L15" i="4"/>
  <c r="O22" i="4"/>
  <c r="L22" i="4"/>
  <c r="O14" i="4"/>
  <c r="L14" i="4"/>
  <c r="O21" i="4"/>
  <c r="L21" i="4"/>
  <c r="O13" i="4"/>
  <c r="L13" i="4"/>
  <c r="O20" i="4"/>
  <c r="L20" i="4"/>
  <c r="M21" i="4" s="1"/>
  <c r="O12" i="4"/>
  <c r="L12" i="4"/>
  <c r="O19" i="4"/>
  <c r="L19" i="4"/>
  <c r="O11" i="4"/>
  <c r="L11" i="4"/>
  <c r="O26" i="4"/>
  <c r="L26" i="4"/>
  <c r="O18" i="4"/>
  <c r="L18" i="4"/>
  <c r="O10" i="4"/>
  <c r="L10" i="4"/>
  <c r="M11" i="4" s="1"/>
  <c r="O25" i="4"/>
  <c r="L25" i="4"/>
  <c r="O17" i="4"/>
  <c r="L17" i="4"/>
  <c r="O9" i="4"/>
  <c r="L9" i="4"/>
  <c r="O8" i="4"/>
  <c r="L8" i="4"/>
  <c r="O7" i="4"/>
  <c r="L7" i="4"/>
  <c r="M7" i="4"/>
  <c r="F9" i="4"/>
  <c r="F10" i="4"/>
  <c r="F11" i="4"/>
  <c r="F12" i="4"/>
  <c r="F8" i="4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M17" i="4" l="1"/>
  <c r="M12" i="4"/>
  <c r="M14" i="4"/>
  <c r="M9" i="4"/>
  <c r="M8" i="4"/>
  <c r="M26" i="4"/>
  <c r="M15" i="4"/>
  <c r="M20" i="4"/>
  <c r="M24" i="4"/>
  <c r="M22" i="4"/>
  <c r="M19" i="4"/>
  <c r="M10" i="4"/>
  <c r="M18" i="4"/>
  <c r="M25" i="4"/>
  <c r="M13" i="4"/>
  <c r="M23" i="4"/>
  <c r="O27" i="4"/>
  <c r="F13" i="4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D20" i="4" l="1"/>
</calcChain>
</file>

<file path=xl/sharedStrings.xml><?xml version="1.0" encoding="utf-8"?>
<sst xmlns="http://schemas.openxmlformats.org/spreadsheetml/2006/main" count="221" uniqueCount="123">
  <si>
    <t>Reset Date</t>
  </si>
  <si>
    <t>Reset Rate</t>
  </si>
  <si>
    <t>Convexity</t>
  </si>
  <si>
    <t>Forward Rate</t>
  </si>
  <si>
    <t>10/28/2019</t>
  </si>
  <si>
    <t>01/28/2020</t>
  </si>
  <si>
    <t>04/28/2020</t>
  </si>
  <si>
    <t>07/28/2020</t>
  </si>
  <si>
    <t>10/28/2020</t>
  </si>
  <si>
    <t>01/27/2021</t>
  </si>
  <si>
    <t>04/28/2021</t>
  </si>
  <si>
    <t>07/28/2021</t>
  </si>
  <si>
    <t>10/27/2021</t>
  </si>
  <si>
    <t>01/27/2022</t>
  </si>
  <si>
    <t>04/27/2022</t>
  </si>
  <si>
    <t>07/27/2022</t>
  </si>
  <si>
    <t>10/27/2022</t>
  </si>
  <si>
    <t>01/26/2023</t>
  </si>
  <si>
    <t>04/26/2023</t>
  </si>
  <si>
    <t>07/27/2023</t>
  </si>
  <si>
    <t>10/26/2023</t>
  </si>
  <si>
    <t>01/26/2024</t>
  </si>
  <si>
    <t>04/26/2024</t>
  </si>
  <si>
    <t>07/26/2024</t>
  </si>
  <si>
    <t>10/28/2024</t>
  </si>
  <si>
    <t>01/28/2025</t>
  </si>
  <si>
    <t>04/28/2025</t>
  </si>
  <si>
    <t>07/28/2025</t>
  </si>
  <si>
    <t>10/28/2025</t>
  </si>
  <si>
    <t>01/28/2026</t>
  </si>
  <si>
    <t>04/28/2026</t>
  </si>
  <si>
    <t>07/28/2026</t>
  </si>
  <si>
    <t>10/28/2026</t>
  </si>
  <si>
    <t>01/27/2027</t>
  </si>
  <si>
    <t>04/28/2027</t>
  </si>
  <si>
    <t>07/28/2027</t>
  </si>
  <si>
    <t>10/27/2027</t>
  </si>
  <si>
    <t>01/27/2028</t>
  </si>
  <si>
    <t>04/26/2028</t>
  </si>
  <si>
    <t>07/27/2028</t>
  </si>
  <si>
    <t>10/26/2028</t>
  </si>
  <si>
    <t>01/26/2029</t>
  </si>
  <si>
    <t>04/26/2029</t>
  </si>
  <si>
    <t>07/26/2029</t>
  </si>
  <si>
    <t>10/26/2029</t>
  </si>
  <si>
    <t>01/28/2030</t>
  </si>
  <si>
    <t>04/26/2030</t>
  </si>
  <si>
    <t>07/26/2030</t>
  </si>
  <si>
    <t>Pay Date</t>
  </si>
  <si>
    <t>Accrual Start</t>
  </si>
  <si>
    <t>Accrual End</t>
  </si>
  <si>
    <t>Days</t>
  </si>
  <si>
    <t>Notional</t>
  </si>
  <si>
    <t>Principal</t>
  </si>
  <si>
    <t>Payment</t>
  </si>
  <si>
    <t>Discount</t>
  </si>
  <si>
    <t>PV</t>
  </si>
  <si>
    <t>07/30/2020</t>
  </si>
  <si>
    <t>04/30/2020</t>
  </si>
  <si>
    <t>10/30/2020</t>
  </si>
  <si>
    <t>01/29/2021</t>
  </si>
  <si>
    <t>04/30/2021</t>
  </si>
  <si>
    <t>07/30/2021</t>
  </si>
  <si>
    <t>10/29/2021</t>
  </si>
  <si>
    <t>01/31/2022</t>
  </si>
  <si>
    <t>04/29/2022</t>
  </si>
  <si>
    <t>07/29/2022</t>
  </si>
  <si>
    <t>10/31/2022</t>
  </si>
  <si>
    <t>01/30/2023</t>
  </si>
  <si>
    <t>04/28/2023</t>
  </si>
  <si>
    <t>07/31/2023</t>
  </si>
  <si>
    <t>10/30/2023</t>
  </si>
  <si>
    <t>01/30/2024</t>
  </si>
  <si>
    <t>04/30/2024</t>
  </si>
  <si>
    <t>07/30/2024</t>
  </si>
  <si>
    <t>10/30/2024</t>
  </si>
  <si>
    <t>01/30/2025</t>
  </si>
  <si>
    <t>04/30/2025</t>
  </si>
  <si>
    <t>07/30/2025</t>
  </si>
  <si>
    <t>10/30/2025</t>
  </si>
  <si>
    <t>01/30/2026</t>
  </si>
  <si>
    <t>04/30/2026</t>
  </si>
  <si>
    <t>07/30/2026</t>
  </si>
  <si>
    <t>10/30/2026</t>
  </si>
  <si>
    <t>01/29/2027</t>
  </si>
  <si>
    <t>04/30/2027</t>
  </si>
  <si>
    <t>07/30/2027</t>
  </si>
  <si>
    <t>10/29/2027</t>
  </si>
  <si>
    <t>01/31/2028</t>
  </si>
  <si>
    <t>04/28/2028</t>
  </si>
  <si>
    <t>07/31/2028</t>
  </si>
  <si>
    <t>10/30/2028</t>
  </si>
  <si>
    <t>01/30/2029</t>
  </si>
  <si>
    <t>04/30/2029</t>
  </si>
  <si>
    <t>07/30/2029</t>
  </si>
  <si>
    <t>10/30/2029</t>
  </si>
  <si>
    <t>01/30/2030</t>
  </si>
  <si>
    <t>04/30/2030</t>
  </si>
  <si>
    <t>07/30/2030</t>
  </si>
  <si>
    <t>10/30/2030</t>
  </si>
  <si>
    <t>01/30/2020</t>
  </si>
  <si>
    <t>10/30/2019</t>
  </si>
  <si>
    <t>TimeToZero</t>
  </si>
  <si>
    <t>Zero Rate</t>
  </si>
  <si>
    <t>ZeroRate</t>
  </si>
  <si>
    <t xml:space="preserve">Tenor </t>
  </si>
  <si>
    <t>5Y</t>
  </si>
  <si>
    <t>End Date</t>
  </si>
  <si>
    <t>Fixed Paydate</t>
  </si>
  <si>
    <t>Float Paydate</t>
  </si>
  <si>
    <t>yearfrac</t>
  </si>
  <si>
    <t>Yearfrac</t>
  </si>
  <si>
    <t>Valuation Date</t>
  </si>
  <si>
    <t>OIS ZR</t>
  </si>
  <si>
    <t>OIS DF</t>
  </si>
  <si>
    <t>Annuity</t>
  </si>
  <si>
    <t>LIBOR3M ZR</t>
  </si>
  <si>
    <t>LIBOR3M DF</t>
  </si>
  <si>
    <t>LIBOR3M Forward</t>
  </si>
  <si>
    <t>Libor3M ZR</t>
  </si>
  <si>
    <t>Libor3M DF</t>
  </si>
  <si>
    <t>OISD F</t>
  </si>
  <si>
    <t xml:space="preserve">swaprate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</si>
</sst>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%"/>
  </numFmts>
  <fonts count="3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2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2" borderId="0" xfId="1" applyNumberFormat="1" applyFont="1" applyFill="1" applyBorder="1" applyAlignment="1" applyProtection="1"/>
    <xf numFmtId="14" fontId="0" fillId="0" borderId="0" xfId="0" applyNumberFormat="1"/>
    <xf numFmtId="2" fontId="0" fillId="0" borderId="0" xfId="0" applyNumberFormat="1"/>
    <xf numFmtId="0" fontId="1" fillId="2" borderId="0" xfId="1"/>
    <xf numFmtId="10" fontId="0" fillId="0" borderId="0" xfId="2" applyNumberFormat="1" applyFont="1"/>
    <xf numFmtId="2" fontId="0" fillId="0" borderId="1" xfId="0" applyNumberFormat="1" applyBorder="1"/>
    <xf numFmtId="0" fontId="0" fillId="0" borderId="1" xfId="0" applyBorder="1"/>
    <xf numFmtId="10" fontId="0" fillId="0" borderId="1" xfId="2" applyNumberFormat="1" applyFont="1" applyBorder="1"/>
    <xf numFmtId="167" fontId="0" fillId="3" borderId="0" xfId="2" applyNumberFormat="1" applyFont="1" applyFill="1"/>
  </cellXfs>
  <cellStyles count="3">
    <cellStyle name="blp_column_header" xfId="1" xr:uid="{B6EBA6F3-35D7-4DFF-A4D5-C584757BDDA9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228600</xdr:colOff>
      <xdr:row>25</xdr:row>
      <xdr:rowOff>172833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4714E1-22BB-4F91-9A18-758AFBD1F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63000" cy="46972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2621-DD21-4B94-B57D-843375102BFC}">
  <sheetPr codeName="Sheet1"/>
  <dimension ref="A1:H89"/>
  <sheetViews>
    <sheetView workbookViewId="0">
      <selection activeCell="E62" sqref="E62"/>
    </sheetView>
  </sheetViews>
  <sheetFormatPr defaultRowHeight="14.4" x14ac:dyDescent="0.3"/>
  <cols>
    <col min="1" max="2" width="15.21875" customWidth="1"/>
    <col min="3" max="3" width="24.5546875" customWidth="1"/>
    <col min="5" max="5" width="22.21875" customWidth="1"/>
    <col min="8" max="8" width="10.5546875" bestFit="1" customWidth="1"/>
  </cols>
  <sheetData>
    <row r="1" spans="1:8" x14ac:dyDescent="0.3">
      <c r="A1" s="1" t="s">
        <v>0</v>
      </c>
      <c r="B1" s="1" t="s">
        <v>102</v>
      </c>
      <c r="C1" s="1" t="s">
        <v>1</v>
      </c>
      <c r="D1" s="1" t="s">
        <v>2</v>
      </c>
      <c r="E1" s="1" t="s">
        <v>3</v>
      </c>
    </row>
    <row r="2" spans="1:8" hidden="1" x14ac:dyDescent="0.3">
      <c r="A2" s="2">
        <v>39749</v>
      </c>
      <c r="B2" s="3"/>
      <c r="C2">
        <v>3.75</v>
      </c>
      <c r="D2">
        <v>0</v>
      </c>
      <c r="E2">
        <v>3.75</v>
      </c>
    </row>
    <row r="3" spans="1:8" hidden="1" x14ac:dyDescent="0.3">
      <c r="A3" s="2">
        <v>39841</v>
      </c>
      <c r="B3" s="3"/>
      <c r="C3">
        <v>2.2429999999999999</v>
      </c>
      <c r="D3">
        <v>0</v>
      </c>
      <c r="E3">
        <v>2.2429999999999999</v>
      </c>
      <c r="H3" s="2">
        <v>43830</v>
      </c>
    </row>
    <row r="4" spans="1:8" hidden="1" x14ac:dyDescent="0.3">
      <c r="A4" s="2">
        <v>39931</v>
      </c>
      <c r="B4" s="3"/>
      <c r="C4">
        <v>2.4540000000000002</v>
      </c>
      <c r="D4">
        <v>0</v>
      </c>
      <c r="E4">
        <v>2.4540000000000002</v>
      </c>
    </row>
    <row r="5" spans="1:8" hidden="1" x14ac:dyDescent="0.3">
      <c r="A5" s="2">
        <v>40022</v>
      </c>
      <c r="B5" s="3"/>
      <c r="C5">
        <v>2.9729999999999999</v>
      </c>
      <c r="D5">
        <v>0</v>
      </c>
      <c r="E5">
        <v>2.9729999999999999</v>
      </c>
    </row>
    <row r="6" spans="1:8" hidden="1" x14ac:dyDescent="0.3">
      <c r="A6" s="2">
        <v>40114</v>
      </c>
      <c r="B6" s="3"/>
      <c r="C6">
        <v>2.6890000000000001</v>
      </c>
      <c r="D6">
        <v>0</v>
      </c>
      <c r="E6">
        <v>2.6890000000000001</v>
      </c>
    </row>
    <row r="7" spans="1:8" hidden="1" x14ac:dyDescent="0.3">
      <c r="A7" s="2">
        <v>40205</v>
      </c>
      <c r="B7" s="3"/>
      <c r="C7">
        <v>2.6389999999999998</v>
      </c>
      <c r="D7">
        <v>0</v>
      </c>
      <c r="E7">
        <v>2.6389999999999998</v>
      </c>
    </row>
    <row r="8" spans="1:8" hidden="1" x14ac:dyDescent="0.3">
      <c r="A8" s="2">
        <v>40296</v>
      </c>
      <c r="B8" s="3"/>
      <c r="C8">
        <v>2.6989999999999998</v>
      </c>
      <c r="D8">
        <v>0</v>
      </c>
      <c r="E8">
        <v>2.6989999999999998</v>
      </c>
    </row>
    <row r="9" spans="1:8" hidden="1" x14ac:dyDescent="0.3">
      <c r="A9" s="2">
        <v>40387</v>
      </c>
      <c r="B9" s="3"/>
      <c r="C9">
        <v>1.946</v>
      </c>
      <c r="D9">
        <v>0</v>
      </c>
      <c r="E9">
        <v>1.946</v>
      </c>
    </row>
    <row r="10" spans="1:8" hidden="1" x14ac:dyDescent="0.3">
      <c r="A10" s="2">
        <v>40478</v>
      </c>
      <c r="B10" s="3"/>
      <c r="C10">
        <v>1.548</v>
      </c>
      <c r="D10">
        <v>0</v>
      </c>
      <c r="E10">
        <v>1.548</v>
      </c>
    </row>
    <row r="11" spans="1:8" hidden="1" x14ac:dyDescent="0.3">
      <c r="A11" s="2">
        <v>40570</v>
      </c>
      <c r="B11" s="3"/>
      <c r="C11">
        <v>2.25</v>
      </c>
      <c r="D11">
        <v>0</v>
      </c>
      <c r="E11">
        <v>2.25</v>
      </c>
    </row>
    <row r="12" spans="1:8" hidden="1" x14ac:dyDescent="0.3">
      <c r="A12" s="2">
        <v>40659</v>
      </c>
      <c r="B12" s="3"/>
      <c r="C12">
        <v>2.246</v>
      </c>
      <c r="D12">
        <v>0</v>
      </c>
      <c r="E12">
        <v>2.246</v>
      </c>
    </row>
    <row r="13" spans="1:8" hidden="1" x14ac:dyDescent="0.3">
      <c r="A13" s="2">
        <v>40751</v>
      </c>
      <c r="B13" s="3"/>
      <c r="C13">
        <v>1.758</v>
      </c>
      <c r="D13">
        <v>0</v>
      </c>
      <c r="E13">
        <v>1.758</v>
      </c>
    </row>
    <row r="14" spans="1:8" hidden="1" x14ac:dyDescent="0.3">
      <c r="A14" s="2">
        <v>40843</v>
      </c>
      <c r="B14" s="3"/>
      <c r="C14">
        <v>1.4339999999999999</v>
      </c>
      <c r="D14">
        <v>0</v>
      </c>
      <c r="E14">
        <v>1.4339999999999999</v>
      </c>
    </row>
    <row r="15" spans="1:8" hidden="1" x14ac:dyDescent="0.3">
      <c r="A15" s="2">
        <v>40934</v>
      </c>
      <c r="B15" s="3"/>
      <c r="C15">
        <v>1.056</v>
      </c>
      <c r="D15">
        <v>0</v>
      </c>
      <c r="E15">
        <v>1.056</v>
      </c>
    </row>
    <row r="16" spans="1:8" hidden="1" x14ac:dyDescent="0.3">
      <c r="A16" s="2">
        <v>41025</v>
      </c>
      <c r="B16" s="3"/>
      <c r="C16">
        <v>1.119</v>
      </c>
      <c r="D16">
        <v>0</v>
      </c>
      <c r="E16">
        <v>1.119</v>
      </c>
    </row>
    <row r="17" spans="1:5" hidden="1" x14ac:dyDescent="0.3">
      <c r="A17" s="2">
        <v>41116</v>
      </c>
      <c r="B17" s="3"/>
      <c r="C17">
        <v>0.79</v>
      </c>
      <c r="D17">
        <v>0</v>
      </c>
      <c r="E17">
        <v>0.79</v>
      </c>
    </row>
    <row r="18" spans="1:5" hidden="1" x14ac:dyDescent="0.3">
      <c r="A18" s="2">
        <v>41208</v>
      </c>
      <c r="B18" s="3"/>
      <c r="C18">
        <v>0.86699999999999999</v>
      </c>
      <c r="D18">
        <v>0</v>
      </c>
      <c r="E18">
        <v>0.86699999999999999</v>
      </c>
    </row>
    <row r="19" spans="1:5" hidden="1" x14ac:dyDescent="0.3">
      <c r="A19" s="2">
        <v>41302</v>
      </c>
      <c r="B19" s="3"/>
      <c r="C19">
        <v>1.0369999999999999</v>
      </c>
      <c r="D19">
        <v>0</v>
      </c>
      <c r="E19">
        <v>1.0369999999999999</v>
      </c>
    </row>
    <row r="20" spans="1:5" hidden="1" x14ac:dyDescent="0.3">
      <c r="A20" s="2">
        <v>41390</v>
      </c>
      <c r="B20" s="3"/>
      <c r="C20">
        <v>0.84599999999999997</v>
      </c>
      <c r="D20">
        <v>0</v>
      </c>
      <c r="E20">
        <v>0.84599999999999997</v>
      </c>
    </row>
    <row r="21" spans="1:5" hidden="1" x14ac:dyDescent="0.3">
      <c r="A21" s="2">
        <v>41481</v>
      </c>
      <c r="B21" s="3"/>
      <c r="C21">
        <v>1.546</v>
      </c>
      <c r="D21">
        <v>0</v>
      </c>
      <c r="E21">
        <v>1.546</v>
      </c>
    </row>
    <row r="22" spans="1:5" hidden="1" x14ac:dyDescent="0.3">
      <c r="A22" s="2">
        <v>41575</v>
      </c>
      <c r="B22" s="3"/>
      <c r="C22">
        <v>1.43</v>
      </c>
      <c r="D22">
        <v>0</v>
      </c>
      <c r="E22">
        <v>1.43</v>
      </c>
    </row>
    <row r="23" spans="1:5" hidden="1" x14ac:dyDescent="0.3">
      <c r="A23" s="2">
        <v>41667</v>
      </c>
      <c r="B23" s="3"/>
      <c r="C23">
        <v>1.7030000000000001</v>
      </c>
      <c r="D23">
        <v>0</v>
      </c>
      <c r="E23">
        <v>1.7030000000000001</v>
      </c>
    </row>
    <row r="24" spans="1:5" hidden="1" x14ac:dyDescent="0.3">
      <c r="A24" s="2">
        <v>41757</v>
      </c>
      <c r="B24" s="3"/>
      <c r="C24">
        <v>1.825</v>
      </c>
      <c r="D24">
        <v>0</v>
      </c>
      <c r="E24">
        <v>1.825</v>
      </c>
    </row>
    <row r="25" spans="1:5" hidden="1" x14ac:dyDescent="0.3">
      <c r="A25" s="2">
        <v>41848</v>
      </c>
      <c r="B25" s="3"/>
      <c r="C25">
        <v>1.8160000000000001</v>
      </c>
      <c r="D25">
        <v>0</v>
      </c>
      <c r="E25">
        <v>1.8160000000000001</v>
      </c>
    </row>
    <row r="26" spans="1:5" hidden="1" x14ac:dyDescent="0.3">
      <c r="A26" s="2">
        <v>41940</v>
      </c>
      <c r="B26" s="3"/>
      <c r="C26">
        <v>1.669</v>
      </c>
      <c r="D26">
        <v>0</v>
      </c>
      <c r="E26">
        <v>1.669</v>
      </c>
    </row>
    <row r="27" spans="1:5" hidden="1" x14ac:dyDescent="0.3">
      <c r="A27" s="2">
        <v>42032</v>
      </c>
      <c r="B27" s="3"/>
      <c r="C27">
        <v>1.4670000000000001</v>
      </c>
      <c r="D27">
        <v>0</v>
      </c>
      <c r="E27">
        <v>1.4670000000000001</v>
      </c>
    </row>
    <row r="28" spans="1:5" hidden="1" x14ac:dyDescent="0.3">
      <c r="A28" s="2">
        <v>42122</v>
      </c>
      <c r="B28" s="3"/>
      <c r="C28">
        <v>1.52</v>
      </c>
      <c r="D28">
        <v>0</v>
      </c>
      <c r="E28">
        <v>1.52</v>
      </c>
    </row>
    <row r="29" spans="1:5" hidden="1" x14ac:dyDescent="0.3">
      <c r="A29" s="2">
        <v>42213</v>
      </c>
      <c r="B29" s="3"/>
      <c r="C29">
        <v>1.7190000000000001</v>
      </c>
      <c r="D29">
        <v>0</v>
      </c>
      <c r="E29">
        <v>1.7190000000000001</v>
      </c>
    </row>
    <row r="30" spans="1:5" hidden="1" x14ac:dyDescent="0.3">
      <c r="A30" s="2">
        <v>42305</v>
      </c>
      <c r="B30" s="3"/>
      <c r="C30">
        <v>1.3979999999999999</v>
      </c>
      <c r="D30">
        <v>0</v>
      </c>
      <c r="E30">
        <v>1.3979999999999999</v>
      </c>
    </row>
    <row r="31" spans="1:5" hidden="1" x14ac:dyDescent="0.3">
      <c r="A31" s="2">
        <v>42396</v>
      </c>
      <c r="B31" s="3"/>
      <c r="C31">
        <v>1.4139999999999999</v>
      </c>
      <c r="D31">
        <v>0</v>
      </c>
      <c r="E31">
        <v>1.4139999999999999</v>
      </c>
    </row>
    <row r="32" spans="1:5" hidden="1" x14ac:dyDescent="0.3">
      <c r="A32" s="2">
        <v>42487</v>
      </c>
      <c r="B32" s="3"/>
      <c r="C32">
        <v>1.3220000000000001</v>
      </c>
      <c r="D32">
        <v>0</v>
      </c>
      <c r="E32">
        <v>1.3220000000000001</v>
      </c>
    </row>
    <row r="33" spans="1:5" hidden="1" x14ac:dyDescent="0.3">
      <c r="A33" s="2">
        <v>42578</v>
      </c>
      <c r="B33" s="3"/>
      <c r="C33">
        <v>1.1519999999999999</v>
      </c>
      <c r="D33">
        <v>0</v>
      </c>
      <c r="E33">
        <v>1.1519999999999999</v>
      </c>
    </row>
    <row r="34" spans="1:5" hidden="1" x14ac:dyDescent="0.3">
      <c r="A34" s="2">
        <v>42670</v>
      </c>
      <c r="B34" s="3"/>
      <c r="C34">
        <v>1.375</v>
      </c>
      <c r="D34">
        <v>0</v>
      </c>
      <c r="E34">
        <v>1.375</v>
      </c>
    </row>
    <row r="35" spans="1:5" hidden="1" x14ac:dyDescent="0.3">
      <c r="A35" s="2">
        <v>42761</v>
      </c>
      <c r="B35" s="3"/>
      <c r="C35">
        <v>2.0750000000000002</v>
      </c>
      <c r="D35">
        <v>0</v>
      </c>
      <c r="E35">
        <v>2.0750000000000002</v>
      </c>
    </row>
    <row r="36" spans="1:5" hidden="1" x14ac:dyDescent="0.3">
      <c r="A36" s="2">
        <v>42851</v>
      </c>
      <c r="B36" s="3"/>
      <c r="C36">
        <v>1.976</v>
      </c>
      <c r="D36">
        <v>0</v>
      </c>
      <c r="E36">
        <v>1.976</v>
      </c>
    </row>
    <row r="37" spans="1:5" hidden="1" x14ac:dyDescent="0.3">
      <c r="A37" s="2">
        <v>42943</v>
      </c>
      <c r="B37" s="3"/>
      <c r="C37">
        <v>1.9239999999999999</v>
      </c>
      <c r="D37">
        <v>0</v>
      </c>
      <c r="E37">
        <v>1.9239999999999999</v>
      </c>
    </row>
    <row r="38" spans="1:5" hidden="1" x14ac:dyDescent="0.3">
      <c r="A38" s="2">
        <v>43034</v>
      </c>
      <c r="B38" s="3"/>
      <c r="C38">
        <v>2.133</v>
      </c>
      <c r="D38">
        <v>0</v>
      </c>
      <c r="E38">
        <v>2.133</v>
      </c>
    </row>
    <row r="39" spans="1:5" hidden="1" x14ac:dyDescent="0.3">
      <c r="A39" s="2">
        <v>43126</v>
      </c>
      <c r="B39" s="3"/>
      <c r="C39">
        <v>2.536</v>
      </c>
      <c r="D39">
        <v>0</v>
      </c>
      <c r="E39">
        <v>2.536</v>
      </c>
    </row>
    <row r="40" spans="1:5" hidden="1" x14ac:dyDescent="0.3">
      <c r="A40" s="2">
        <v>43216</v>
      </c>
      <c r="B40" s="3"/>
      <c r="C40">
        <v>2.9350000000000001</v>
      </c>
      <c r="D40">
        <v>0</v>
      </c>
      <c r="E40">
        <v>2.9350000000000001</v>
      </c>
    </row>
    <row r="41" spans="1:5" hidden="1" x14ac:dyDescent="0.3">
      <c r="A41" s="2">
        <v>43307</v>
      </c>
      <c r="B41" s="3"/>
      <c r="C41">
        <v>2.9660000000000002</v>
      </c>
      <c r="D41">
        <v>0</v>
      </c>
      <c r="E41">
        <v>2.9660000000000002</v>
      </c>
    </row>
    <row r="42" spans="1:5" hidden="1" x14ac:dyDescent="0.3">
      <c r="A42" s="2">
        <v>43399</v>
      </c>
      <c r="B42" s="3"/>
      <c r="C42">
        <v>3.0310000000000001</v>
      </c>
      <c r="D42">
        <v>0</v>
      </c>
      <c r="E42">
        <v>3.0310000000000001</v>
      </c>
    </row>
    <row r="43" spans="1:5" hidden="1" x14ac:dyDescent="0.3">
      <c r="A43" s="2">
        <v>43493</v>
      </c>
      <c r="B43" s="3"/>
      <c r="C43">
        <v>2.6619999999999999</v>
      </c>
      <c r="D43">
        <v>0</v>
      </c>
      <c r="E43">
        <v>2.6619999999999999</v>
      </c>
    </row>
    <row r="44" spans="1:5" hidden="1" x14ac:dyDescent="0.3">
      <c r="A44" s="2">
        <v>43581</v>
      </c>
      <c r="B44" s="3"/>
      <c r="C44">
        <v>2.3210000000000002</v>
      </c>
      <c r="D44">
        <v>0</v>
      </c>
      <c r="E44">
        <v>2.3210000000000002</v>
      </c>
    </row>
    <row r="45" spans="1:5" hidden="1" x14ac:dyDescent="0.3">
      <c r="A45" s="2">
        <v>43672</v>
      </c>
      <c r="B45" s="3"/>
      <c r="C45">
        <v>1.8240000000000001</v>
      </c>
      <c r="D45">
        <v>0</v>
      </c>
      <c r="E45">
        <v>1.8240000000000001</v>
      </c>
    </row>
    <row r="46" spans="1:5" x14ac:dyDescent="0.3">
      <c r="A46" s="2">
        <v>43766</v>
      </c>
      <c r="B46" s="3"/>
      <c r="C46">
        <v>1.643</v>
      </c>
      <c r="D46">
        <v>0</v>
      </c>
      <c r="E46">
        <v>1.643</v>
      </c>
    </row>
    <row r="47" spans="1:5" x14ac:dyDescent="0.3">
      <c r="A47" s="2">
        <v>43858</v>
      </c>
      <c r="B47" s="3">
        <f t="shared" ref="B3:B66" si="0">YEARFRAC($H$3,A47,1)</f>
        <v>7.6712328767123292E-2</v>
      </c>
      <c r="C47">
        <v>1.72828</v>
      </c>
      <c r="D47">
        <v>7.1000000000000002E-4</v>
      </c>
      <c r="E47">
        <v>1.72756</v>
      </c>
    </row>
    <row r="48" spans="1:5" x14ac:dyDescent="0.3">
      <c r="A48" s="2">
        <v>43949</v>
      </c>
      <c r="B48" s="3">
        <f t="shared" si="0"/>
        <v>0.3251366120218579</v>
      </c>
      <c r="C48">
        <v>1.7288600000000001</v>
      </c>
      <c r="D48">
        <v>3.46E-3</v>
      </c>
      <c r="E48">
        <v>1.7254</v>
      </c>
    </row>
    <row r="49" spans="1:5" x14ac:dyDescent="0.3">
      <c r="A49" s="2">
        <v>44040</v>
      </c>
      <c r="B49" s="3">
        <f t="shared" si="0"/>
        <v>0.57377049180327866</v>
      </c>
      <c r="C49">
        <v>1.74376</v>
      </c>
      <c r="D49">
        <v>6.1799999999999997E-3</v>
      </c>
      <c r="E49">
        <v>1.7375799999999999</v>
      </c>
    </row>
    <row r="50" spans="1:5" x14ac:dyDescent="0.3">
      <c r="A50" s="2">
        <v>44132</v>
      </c>
      <c r="B50" s="3">
        <f t="shared" si="0"/>
        <v>0.82513661202185795</v>
      </c>
      <c r="C50">
        <v>1.7587600000000001</v>
      </c>
      <c r="D50">
        <v>9.1000000000000004E-3</v>
      </c>
      <c r="E50">
        <v>1.7496499999999999</v>
      </c>
    </row>
    <row r="51" spans="1:5" x14ac:dyDescent="0.3">
      <c r="A51" s="2">
        <v>44223</v>
      </c>
      <c r="B51" s="3">
        <f t="shared" si="0"/>
        <v>1.0757299270072993</v>
      </c>
      <c r="C51">
        <v>1.7778799999999999</v>
      </c>
      <c r="D51">
        <v>1.204E-2</v>
      </c>
      <c r="E51">
        <v>1.7658499999999999</v>
      </c>
    </row>
    <row r="52" spans="1:5" x14ac:dyDescent="0.3">
      <c r="A52" s="2">
        <v>44314</v>
      </c>
      <c r="B52" s="3">
        <f t="shared" si="0"/>
        <v>1.3248175182481752</v>
      </c>
      <c r="C52">
        <v>1.79897</v>
      </c>
      <c r="D52">
        <v>1.498E-2</v>
      </c>
      <c r="E52">
        <v>1.784</v>
      </c>
    </row>
    <row r="53" spans="1:5" x14ac:dyDescent="0.3">
      <c r="A53" s="2">
        <v>44405</v>
      </c>
      <c r="B53" s="3">
        <f t="shared" si="0"/>
        <v>1.5739051094890513</v>
      </c>
      <c r="C53">
        <v>1.82667</v>
      </c>
      <c r="D53">
        <v>1.7850000000000001E-2</v>
      </c>
      <c r="E53">
        <v>1.80881</v>
      </c>
    </row>
    <row r="54" spans="1:5" x14ac:dyDescent="0.3">
      <c r="A54" s="2">
        <v>44496</v>
      </c>
      <c r="B54" s="3">
        <f t="shared" si="0"/>
        <v>1.8229927007299271</v>
      </c>
      <c r="C54">
        <v>1.8479000000000001</v>
      </c>
      <c r="D54">
        <v>2.0590000000000001E-2</v>
      </c>
      <c r="E54">
        <v>1.82731</v>
      </c>
    </row>
    <row r="55" spans="1:5" x14ac:dyDescent="0.3">
      <c r="A55" s="2">
        <v>44588</v>
      </c>
      <c r="B55" s="3">
        <f t="shared" si="0"/>
        <v>2.0752908966461328</v>
      </c>
      <c r="C55">
        <v>1.8659699999999999</v>
      </c>
      <c r="D55">
        <v>2.349E-2</v>
      </c>
      <c r="E55">
        <v>1.8424799999999999</v>
      </c>
    </row>
    <row r="56" spans="1:5" x14ac:dyDescent="0.3">
      <c r="A56" s="2">
        <v>44678</v>
      </c>
      <c r="B56" s="3">
        <f t="shared" si="0"/>
        <v>2.321697467488022</v>
      </c>
      <c r="C56">
        <v>1.8876599999999999</v>
      </c>
      <c r="D56">
        <v>2.6040000000000001E-2</v>
      </c>
      <c r="E56">
        <v>1.8616200000000001</v>
      </c>
    </row>
    <row r="57" spans="1:5" x14ac:dyDescent="0.3">
      <c r="A57" s="2">
        <v>44769</v>
      </c>
      <c r="B57" s="3">
        <f t="shared" si="0"/>
        <v>2.5708418891170433</v>
      </c>
      <c r="C57">
        <v>1.9117999999999999</v>
      </c>
      <c r="D57">
        <v>2.8500000000000001E-2</v>
      </c>
      <c r="E57">
        <v>1.8833</v>
      </c>
    </row>
    <row r="58" spans="1:5" x14ac:dyDescent="0.3">
      <c r="A58" s="2">
        <v>44861</v>
      </c>
      <c r="B58" s="3">
        <f t="shared" si="0"/>
        <v>2.8227241615331966</v>
      </c>
      <c r="C58">
        <v>1.93421</v>
      </c>
      <c r="D58">
        <v>3.109E-2</v>
      </c>
      <c r="E58">
        <v>1.9031100000000001</v>
      </c>
    </row>
    <row r="59" spans="1:5" x14ac:dyDescent="0.3">
      <c r="A59" s="2">
        <v>44952</v>
      </c>
      <c r="B59" s="3">
        <f t="shared" si="0"/>
        <v>3.072289156626506</v>
      </c>
      <c r="C59">
        <v>1.9616100000000001</v>
      </c>
      <c r="D59">
        <v>3.3770000000000001E-2</v>
      </c>
      <c r="E59">
        <v>1.9278500000000001</v>
      </c>
    </row>
    <row r="60" spans="1:5" x14ac:dyDescent="0.3">
      <c r="A60" s="2">
        <v>45042</v>
      </c>
      <c r="B60" s="3">
        <f t="shared" si="0"/>
        <v>3.3187294633077769</v>
      </c>
      <c r="C60">
        <v>1.9842299999999999</v>
      </c>
      <c r="D60">
        <v>3.6519999999999997E-2</v>
      </c>
      <c r="E60">
        <v>1.9477100000000001</v>
      </c>
    </row>
    <row r="61" spans="1:5" x14ac:dyDescent="0.3">
      <c r="A61" s="2">
        <v>45134</v>
      </c>
      <c r="B61" s="3">
        <f t="shared" si="0"/>
        <v>3.570646221248631</v>
      </c>
      <c r="C61">
        <v>2.0078499999999999</v>
      </c>
      <c r="D61">
        <v>3.9759999999999997E-2</v>
      </c>
      <c r="E61">
        <v>1.9680899999999999</v>
      </c>
    </row>
    <row r="62" spans="1:5" x14ac:dyDescent="0.3">
      <c r="A62" s="2">
        <v>45225</v>
      </c>
      <c r="B62" s="3">
        <f t="shared" si="0"/>
        <v>3.8198247535596934</v>
      </c>
      <c r="C62">
        <v>2.0301800000000001</v>
      </c>
      <c r="D62">
        <v>4.2889999999999998E-2</v>
      </c>
      <c r="E62">
        <v>1.9873000000000001</v>
      </c>
    </row>
    <row r="63" spans="1:5" x14ac:dyDescent="0.3">
      <c r="A63" s="2">
        <v>45317</v>
      </c>
      <c r="B63" s="3">
        <f t="shared" si="0"/>
        <v>4.070255474452555</v>
      </c>
      <c r="C63">
        <v>2.0526800000000001</v>
      </c>
      <c r="D63">
        <v>4.6120000000000001E-2</v>
      </c>
      <c r="E63">
        <v>2.0065599999999999</v>
      </c>
    </row>
    <row r="64" spans="1:5" x14ac:dyDescent="0.3">
      <c r="A64" s="2">
        <v>45408</v>
      </c>
      <c r="B64" s="3">
        <f t="shared" si="0"/>
        <v>4.3193430656934311</v>
      </c>
      <c r="C64">
        <v>2.07239</v>
      </c>
      <c r="D64">
        <v>4.8959999999999997E-2</v>
      </c>
      <c r="E64">
        <v>2.0234299999999998</v>
      </c>
    </row>
    <row r="65" spans="1:5" x14ac:dyDescent="0.3">
      <c r="A65" s="2">
        <v>45499</v>
      </c>
      <c r="B65" s="3">
        <f t="shared" si="0"/>
        <v>4.5684306569343072</v>
      </c>
      <c r="C65">
        <v>2.0952899999999999</v>
      </c>
      <c r="D65">
        <v>5.1729999999999998E-2</v>
      </c>
      <c r="E65">
        <v>2.0435500000000002</v>
      </c>
    </row>
    <row r="66" spans="1:5" x14ac:dyDescent="0.3">
      <c r="A66" s="2">
        <v>45593</v>
      </c>
      <c r="B66" s="3">
        <f t="shared" si="0"/>
        <v>4.8257299270072993</v>
      </c>
      <c r="C66">
        <v>2.1171600000000002</v>
      </c>
      <c r="D66">
        <v>5.466E-2</v>
      </c>
      <c r="E66">
        <v>2.0625</v>
      </c>
    </row>
    <row r="67" spans="1:5" x14ac:dyDescent="0.3">
      <c r="A67" s="2">
        <v>45685</v>
      </c>
      <c r="B67" s="3">
        <f t="shared" ref="B67:B89" si="1">YEARFRAC($H$3,A67,1)</f>
        <v>5.0782166601486116</v>
      </c>
      <c r="C67">
        <v>2.13896</v>
      </c>
      <c r="D67">
        <v>5.7630000000000001E-2</v>
      </c>
      <c r="E67">
        <v>2.0813299999999999</v>
      </c>
    </row>
    <row r="68" spans="1:5" x14ac:dyDescent="0.3">
      <c r="A68" s="2">
        <v>45775</v>
      </c>
      <c r="B68" s="3">
        <f t="shared" si="1"/>
        <v>5.3245991396167387</v>
      </c>
      <c r="C68">
        <v>2.15882</v>
      </c>
      <c r="D68">
        <v>6.0429999999999998E-2</v>
      </c>
      <c r="E68">
        <v>2.0983900000000002</v>
      </c>
    </row>
    <row r="69" spans="1:5" x14ac:dyDescent="0.3">
      <c r="A69" s="2">
        <v>45866</v>
      </c>
      <c r="B69" s="3">
        <f t="shared" si="1"/>
        <v>5.573719202190067</v>
      </c>
      <c r="C69">
        <v>2.1802899999999998</v>
      </c>
      <c r="D69">
        <v>6.3250000000000001E-2</v>
      </c>
      <c r="E69">
        <v>2.1170399999999998</v>
      </c>
    </row>
    <row r="70" spans="1:5" x14ac:dyDescent="0.3">
      <c r="A70" s="2">
        <v>45958</v>
      </c>
      <c r="B70" s="3">
        <f t="shared" si="1"/>
        <v>5.8255768478685965</v>
      </c>
      <c r="C70">
        <v>2.1994699999999998</v>
      </c>
      <c r="D70">
        <v>6.6180000000000003E-2</v>
      </c>
      <c r="E70">
        <v>2.1333000000000002</v>
      </c>
    </row>
    <row r="71" spans="1:5" x14ac:dyDescent="0.3">
      <c r="A71" s="2">
        <v>46050</v>
      </c>
      <c r="B71" s="3">
        <f t="shared" si="1"/>
        <v>6.0780287474332653</v>
      </c>
      <c r="C71">
        <v>2.2170999999999998</v>
      </c>
      <c r="D71">
        <v>6.9159999999999999E-2</v>
      </c>
      <c r="E71">
        <v>2.1479400000000002</v>
      </c>
    </row>
    <row r="72" spans="1:5" x14ac:dyDescent="0.3">
      <c r="A72" s="2">
        <v>46140</v>
      </c>
      <c r="B72" s="3">
        <f t="shared" si="1"/>
        <v>6.324435318275154</v>
      </c>
      <c r="C72">
        <v>2.23129</v>
      </c>
      <c r="D72">
        <v>7.1809999999999999E-2</v>
      </c>
      <c r="E72">
        <v>2.1594699999999998</v>
      </c>
    </row>
    <row r="73" spans="1:5" x14ac:dyDescent="0.3">
      <c r="A73" s="2">
        <v>46231</v>
      </c>
      <c r="B73" s="3">
        <f t="shared" si="1"/>
        <v>6.5735797399041749</v>
      </c>
      <c r="C73">
        <v>2.2465700000000002</v>
      </c>
      <c r="D73">
        <v>7.4469999999999995E-2</v>
      </c>
      <c r="E73">
        <v>2.1720999999999999</v>
      </c>
    </row>
    <row r="74" spans="1:5" x14ac:dyDescent="0.3">
      <c r="A74" s="2">
        <v>46323</v>
      </c>
      <c r="B74" s="3">
        <f t="shared" si="1"/>
        <v>6.8254620123203287</v>
      </c>
      <c r="C74">
        <v>2.2598500000000001</v>
      </c>
      <c r="D74">
        <v>7.7310000000000004E-2</v>
      </c>
      <c r="E74">
        <v>2.1825399999999999</v>
      </c>
    </row>
    <row r="75" spans="1:5" x14ac:dyDescent="0.3">
      <c r="A75" s="2">
        <v>46414</v>
      </c>
      <c r="B75" s="3">
        <f t="shared" si="1"/>
        <v>7.0751445086705198</v>
      </c>
      <c r="C75">
        <v>2.27129</v>
      </c>
      <c r="D75">
        <v>0.08</v>
      </c>
      <c r="E75">
        <v>2.19129</v>
      </c>
    </row>
    <row r="76" spans="1:5" x14ac:dyDescent="0.3">
      <c r="A76" s="2">
        <v>46505</v>
      </c>
      <c r="B76" s="3">
        <f t="shared" si="1"/>
        <v>7.3243078795254029</v>
      </c>
      <c r="C76">
        <v>2.2851699999999999</v>
      </c>
      <c r="D76">
        <v>8.2600000000000007E-2</v>
      </c>
      <c r="E76">
        <v>2.2025700000000001</v>
      </c>
    </row>
    <row r="77" spans="1:5" x14ac:dyDescent="0.3">
      <c r="A77" s="2">
        <v>46596</v>
      </c>
      <c r="B77" s="3">
        <f t="shared" si="1"/>
        <v>7.5734712503802859</v>
      </c>
      <c r="C77">
        <v>2.2987299999999999</v>
      </c>
      <c r="D77">
        <v>8.5190000000000002E-2</v>
      </c>
      <c r="E77">
        <v>2.2135400000000001</v>
      </c>
    </row>
    <row r="78" spans="1:5" x14ac:dyDescent="0.3">
      <c r="A78" s="2">
        <v>46687</v>
      </c>
      <c r="B78" s="3">
        <f t="shared" si="1"/>
        <v>7.822634621235169</v>
      </c>
      <c r="C78">
        <v>2.31013</v>
      </c>
      <c r="D78">
        <v>8.7429999999999994E-2</v>
      </c>
      <c r="E78">
        <v>2.2227000000000001</v>
      </c>
    </row>
    <row r="79" spans="1:5" x14ac:dyDescent="0.3">
      <c r="A79" s="2">
        <v>46779</v>
      </c>
      <c r="B79" s="3">
        <f t="shared" si="1"/>
        <v>8.0728168628524504</v>
      </c>
      <c r="C79">
        <v>2.3222299999999998</v>
      </c>
      <c r="D79">
        <v>9.0590000000000004E-2</v>
      </c>
      <c r="E79">
        <v>2.2316400000000001</v>
      </c>
    </row>
    <row r="80" spans="1:5" x14ac:dyDescent="0.3">
      <c r="A80" s="2">
        <v>46869</v>
      </c>
      <c r="B80" s="3">
        <f t="shared" si="1"/>
        <v>8.3191897070900627</v>
      </c>
      <c r="C80">
        <v>2.3307500000000001</v>
      </c>
      <c r="D80">
        <v>9.2399999999999996E-2</v>
      </c>
      <c r="E80">
        <v>2.23834</v>
      </c>
    </row>
    <row r="81" spans="1:5" x14ac:dyDescent="0.3">
      <c r="A81" s="2">
        <v>46961</v>
      </c>
      <c r="B81" s="3">
        <f t="shared" si="1"/>
        <v>8.5710375034218451</v>
      </c>
      <c r="C81">
        <v>2.3401100000000001</v>
      </c>
      <c r="D81">
        <v>9.5189999999999997E-2</v>
      </c>
      <c r="E81">
        <v>2.24492</v>
      </c>
    </row>
    <row r="82" spans="1:5" x14ac:dyDescent="0.3">
      <c r="A82" s="2">
        <v>47052</v>
      </c>
      <c r="B82" s="3">
        <f t="shared" si="1"/>
        <v>8.8201478237065416</v>
      </c>
      <c r="C82">
        <v>2.3504299999999998</v>
      </c>
      <c r="D82">
        <v>9.7479999999999997E-2</v>
      </c>
      <c r="E82">
        <v>2.2529499999999998</v>
      </c>
    </row>
    <row r="83" spans="1:5" x14ac:dyDescent="0.3">
      <c r="A83" s="2">
        <v>47144</v>
      </c>
      <c r="B83" s="3">
        <f t="shared" si="1"/>
        <v>9.0726729716276768</v>
      </c>
      <c r="C83">
        <v>2.3594200000000001</v>
      </c>
      <c r="D83">
        <v>0.10014000000000001</v>
      </c>
      <c r="E83">
        <v>2.25928</v>
      </c>
    </row>
    <row r="84" spans="1:5" x14ac:dyDescent="0.3">
      <c r="A84" s="2">
        <v>47234</v>
      </c>
      <c r="B84" s="3">
        <f t="shared" si="1"/>
        <v>9.319064211050275</v>
      </c>
      <c r="C84">
        <v>2.3663599999999998</v>
      </c>
      <c r="D84">
        <v>0.10247000000000001</v>
      </c>
      <c r="E84">
        <v>2.26389</v>
      </c>
    </row>
    <row r="85" spans="1:5" x14ac:dyDescent="0.3">
      <c r="A85" s="2">
        <v>47325</v>
      </c>
      <c r="B85" s="3">
        <f t="shared" si="1"/>
        <v>9.5681931309109007</v>
      </c>
      <c r="C85">
        <v>2.3759899999999998</v>
      </c>
      <c r="D85">
        <v>0.10481</v>
      </c>
      <c r="E85">
        <v>2.2711800000000002</v>
      </c>
    </row>
    <row r="86" spans="1:5" x14ac:dyDescent="0.3">
      <c r="A86" s="2">
        <v>47417</v>
      </c>
      <c r="B86" s="3">
        <f t="shared" si="1"/>
        <v>9.8200597312095574</v>
      </c>
      <c r="C86">
        <v>2.3797700000000002</v>
      </c>
      <c r="D86">
        <v>0.10735</v>
      </c>
      <c r="E86">
        <v>2.2724099999999998</v>
      </c>
    </row>
    <row r="87" spans="1:5" x14ac:dyDescent="0.3">
      <c r="A87" s="2">
        <v>47511</v>
      </c>
      <c r="B87" s="3">
        <f t="shared" si="1"/>
        <v>10.078028747433265</v>
      </c>
      <c r="C87">
        <v>2.3862899999999998</v>
      </c>
      <c r="D87">
        <v>0.11028</v>
      </c>
      <c r="E87">
        <v>2.2760099999999999</v>
      </c>
    </row>
    <row r="88" spans="1:5" x14ac:dyDescent="0.3">
      <c r="A88" s="2">
        <v>47599</v>
      </c>
      <c r="B88" s="3">
        <f t="shared" si="1"/>
        <v>10.318959616700889</v>
      </c>
      <c r="C88">
        <v>2.38768</v>
      </c>
      <c r="D88">
        <v>0.11280999999999999</v>
      </c>
      <c r="E88">
        <v>2.2748699999999999</v>
      </c>
    </row>
    <row r="89" spans="1:5" x14ac:dyDescent="0.3">
      <c r="A89" s="2">
        <v>47690</v>
      </c>
      <c r="B89" s="3">
        <f t="shared" si="1"/>
        <v>10.568104038329912</v>
      </c>
      <c r="C89">
        <v>2.3932799999999999</v>
      </c>
      <c r="D89">
        <v>0.11545999999999999</v>
      </c>
      <c r="E89">
        <v>2.2778200000000002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D12C4-A20D-492F-9442-E0C3D54F5A20}">
  <sheetPr codeName="Sheet2"/>
  <dimension ref="A1:K45"/>
  <sheetViews>
    <sheetView workbookViewId="0">
      <selection activeCell="H18" sqref="H18"/>
    </sheetView>
  </sheetViews>
  <sheetFormatPr defaultRowHeight="14.4" x14ac:dyDescent="0.3"/>
  <cols>
    <col min="1" max="1" width="10.5546875" bestFit="1" customWidth="1"/>
    <col min="7" max="7" width="12.6640625" customWidth="1"/>
  </cols>
  <sheetData>
    <row r="1" spans="1:11" x14ac:dyDescent="0.3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0</v>
      </c>
      <c r="H1" s="1" t="s">
        <v>1</v>
      </c>
      <c r="I1" s="1" t="s">
        <v>54</v>
      </c>
      <c r="J1" s="1" t="s">
        <v>55</v>
      </c>
      <c r="K1" s="1" t="s">
        <v>56</v>
      </c>
    </row>
    <row r="2" spans="1:11" x14ac:dyDescent="0.3">
      <c r="A2" t="s">
        <v>100</v>
      </c>
      <c r="B2" t="s">
        <v>101</v>
      </c>
      <c r="C2" t="s">
        <v>100</v>
      </c>
      <c r="D2">
        <v>92</v>
      </c>
      <c r="E2">
        <v>-10000000</v>
      </c>
      <c r="F2">
        <v>0</v>
      </c>
      <c r="G2" t="s">
        <v>4</v>
      </c>
      <c r="H2">
        <v>1.643</v>
      </c>
      <c r="I2">
        <v>-41987.78</v>
      </c>
      <c r="J2">
        <v>0.99870800000000004</v>
      </c>
      <c r="K2">
        <v>-41933.519999999997</v>
      </c>
    </row>
    <row r="3" spans="1:11" x14ac:dyDescent="0.3">
      <c r="A3" t="s">
        <v>58</v>
      </c>
      <c r="B3" t="s">
        <v>100</v>
      </c>
      <c r="C3" t="s">
        <v>58</v>
      </c>
      <c r="D3">
        <v>91</v>
      </c>
      <c r="E3">
        <v>-10000000</v>
      </c>
      <c r="F3">
        <v>0</v>
      </c>
      <c r="G3" t="s">
        <v>5</v>
      </c>
      <c r="H3">
        <v>1.72828</v>
      </c>
      <c r="I3">
        <v>-43686.96</v>
      </c>
      <c r="J3">
        <v>0.99478299999999997</v>
      </c>
      <c r="K3">
        <v>-43459.06</v>
      </c>
    </row>
    <row r="4" spans="1:11" x14ac:dyDescent="0.3">
      <c r="A4" t="s">
        <v>57</v>
      </c>
      <c r="B4" t="s">
        <v>58</v>
      </c>
      <c r="C4" t="s">
        <v>57</v>
      </c>
      <c r="D4">
        <v>91</v>
      </c>
      <c r="E4">
        <v>-10000000</v>
      </c>
      <c r="F4">
        <v>0</v>
      </c>
      <c r="G4" t="s">
        <v>6</v>
      </c>
      <c r="H4">
        <v>1.7288600000000001</v>
      </c>
      <c r="I4">
        <v>-43701.75</v>
      </c>
      <c r="J4">
        <v>0.99096200000000001</v>
      </c>
      <c r="K4">
        <v>-43306.77</v>
      </c>
    </row>
    <row r="5" spans="1:11" x14ac:dyDescent="0.3">
      <c r="A5" t="s">
        <v>59</v>
      </c>
      <c r="B5" t="s">
        <v>57</v>
      </c>
      <c r="C5" t="s">
        <v>59</v>
      </c>
      <c r="D5">
        <v>92</v>
      </c>
      <c r="E5">
        <v>-10000000</v>
      </c>
      <c r="F5">
        <v>0</v>
      </c>
      <c r="G5" t="s">
        <v>7</v>
      </c>
      <c r="H5">
        <v>1.74376</v>
      </c>
      <c r="I5">
        <v>-44562.76</v>
      </c>
      <c r="J5">
        <v>0.98722600000000005</v>
      </c>
      <c r="K5">
        <v>-43993.52</v>
      </c>
    </row>
    <row r="6" spans="1:11" x14ac:dyDescent="0.3">
      <c r="A6" t="s">
        <v>60</v>
      </c>
      <c r="B6" t="s">
        <v>59</v>
      </c>
      <c r="C6" t="s">
        <v>60</v>
      </c>
      <c r="D6">
        <v>91</v>
      </c>
      <c r="E6">
        <v>-10000000</v>
      </c>
      <c r="F6">
        <v>0</v>
      </c>
      <c r="G6" t="s">
        <v>8</v>
      </c>
      <c r="H6">
        <v>1.7587600000000001</v>
      </c>
      <c r="I6">
        <v>-44457.48</v>
      </c>
      <c r="J6">
        <v>0.98370100000000005</v>
      </c>
      <c r="K6">
        <v>-43732.87</v>
      </c>
    </row>
    <row r="7" spans="1:11" x14ac:dyDescent="0.3">
      <c r="A7" t="s">
        <v>61</v>
      </c>
      <c r="B7" t="s">
        <v>60</v>
      </c>
      <c r="C7" t="s">
        <v>61</v>
      </c>
      <c r="D7">
        <v>91</v>
      </c>
      <c r="E7">
        <v>-10000000</v>
      </c>
      <c r="F7">
        <v>0</v>
      </c>
      <c r="G7" t="s">
        <v>9</v>
      </c>
      <c r="H7">
        <v>1.7778799999999999</v>
      </c>
      <c r="I7">
        <v>-44940.97</v>
      </c>
      <c r="J7">
        <v>0.98030099999999998</v>
      </c>
      <c r="K7">
        <v>-44055.68</v>
      </c>
    </row>
    <row r="8" spans="1:11" x14ac:dyDescent="0.3">
      <c r="A8" t="s">
        <v>62</v>
      </c>
      <c r="B8" t="s">
        <v>61</v>
      </c>
      <c r="C8" t="s">
        <v>62</v>
      </c>
      <c r="D8">
        <v>91</v>
      </c>
      <c r="E8">
        <v>-10000000</v>
      </c>
      <c r="F8">
        <v>0</v>
      </c>
      <c r="G8" t="s">
        <v>10</v>
      </c>
      <c r="H8">
        <v>1.79897</v>
      </c>
      <c r="I8">
        <v>-45474.04</v>
      </c>
      <c r="J8">
        <v>0.97692100000000004</v>
      </c>
      <c r="K8">
        <v>-44424.53</v>
      </c>
    </row>
    <row r="9" spans="1:11" x14ac:dyDescent="0.3">
      <c r="A9" t="s">
        <v>63</v>
      </c>
      <c r="B9" t="s">
        <v>62</v>
      </c>
      <c r="C9" t="s">
        <v>63</v>
      </c>
      <c r="D9">
        <v>91</v>
      </c>
      <c r="E9">
        <v>-10000000</v>
      </c>
      <c r="F9">
        <v>0</v>
      </c>
      <c r="G9" t="s">
        <v>11</v>
      </c>
      <c r="H9">
        <v>1.82667</v>
      </c>
      <c r="I9">
        <v>-46174.04</v>
      </c>
      <c r="J9">
        <v>0.97349200000000002</v>
      </c>
      <c r="K9">
        <v>-44950.04</v>
      </c>
    </row>
    <row r="10" spans="1:11" x14ac:dyDescent="0.3">
      <c r="A10" t="s">
        <v>64</v>
      </c>
      <c r="B10" t="s">
        <v>63</v>
      </c>
      <c r="C10" t="s">
        <v>64</v>
      </c>
      <c r="D10">
        <v>94</v>
      </c>
      <c r="E10">
        <v>-10000000</v>
      </c>
      <c r="F10">
        <v>0</v>
      </c>
      <c r="G10" t="s">
        <v>12</v>
      </c>
      <c r="H10">
        <v>1.8479000000000001</v>
      </c>
      <c r="I10">
        <v>-48250.78</v>
      </c>
      <c r="J10">
        <v>0.969912</v>
      </c>
      <c r="K10">
        <v>-46799.01</v>
      </c>
    </row>
    <row r="11" spans="1:11" x14ac:dyDescent="0.3">
      <c r="A11" t="s">
        <v>65</v>
      </c>
      <c r="B11" t="s">
        <v>64</v>
      </c>
      <c r="C11" t="s">
        <v>65</v>
      </c>
      <c r="D11">
        <v>88</v>
      </c>
      <c r="E11">
        <v>-10000000</v>
      </c>
      <c r="F11">
        <v>0</v>
      </c>
      <c r="G11" t="s">
        <v>13</v>
      </c>
      <c r="H11">
        <v>1.8659699999999999</v>
      </c>
      <c r="I11">
        <v>-45612.57</v>
      </c>
      <c r="J11">
        <v>0.96654099999999998</v>
      </c>
      <c r="K11">
        <v>-44086.41</v>
      </c>
    </row>
    <row r="12" spans="1:11" x14ac:dyDescent="0.3">
      <c r="A12" t="s">
        <v>66</v>
      </c>
      <c r="B12" t="s">
        <v>65</v>
      </c>
      <c r="C12" t="s">
        <v>66</v>
      </c>
      <c r="D12">
        <v>91</v>
      </c>
      <c r="E12">
        <v>-10000000</v>
      </c>
      <c r="F12">
        <v>0</v>
      </c>
      <c r="G12" t="s">
        <v>14</v>
      </c>
      <c r="H12">
        <v>1.8876599999999999</v>
      </c>
      <c r="I12">
        <v>-47715.73</v>
      </c>
      <c r="J12">
        <v>0.96303499999999997</v>
      </c>
      <c r="K12">
        <v>-45951.89</v>
      </c>
    </row>
    <row r="13" spans="1:11" x14ac:dyDescent="0.3">
      <c r="A13" t="s">
        <v>67</v>
      </c>
      <c r="B13" t="s">
        <v>66</v>
      </c>
      <c r="C13" t="s">
        <v>67</v>
      </c>
      <c r="D13">
        <v>94</v>
      </c>
      <c r="E13">
        <v>-10000000</v>
      </c>
      <c r="F13">
        <v>0</v>
      </c>
      <c r="G13" t="s">
        <v>15</v>
      </c>
      <c r="H13">
        <v>1.9117999999999999</v>
      </c>
      <c r="I13">
        <v>-49919.17</v>
      </c>
      <c r="J13">
        <v>0.95938999999999997</v>
      </c>
      <c r="K13">
        <v>-47891.94</v>
      </c>
    </row>
    <row r="14" spans="1:11" x14ac:dyDescent="0.3">
      <c r="A14" t="s">
        <v>68</v>
      </c>
      <c r="B14" t="s">
        <v>67</v>
      </c>
      <c r="C14" t="s">
        <v>68</v>
      </c>
      <c r="D14">
        <v>91</v>
      </c>
      <c r="E14">
        <v>-10000000</v>
      </c>
      <c r="F14">
        <v>0</v>
      </c>
      <c r="G14" t="s">
        <v>16</v>
      </c>
      <c r="H14">
        <v>1.93421</v>
      </c>
      <c r="I14">
        <v>-48892.41</v>
      </c>
      <c r="J14">
        <v>0.95583799999999997</v>
      </c>
      <c r="K14">
        <v>-46733.21</v>
      </c>
    </row>
    <row r="15" spans="1:11" x14ac:dyDescent="0.3">
      <c r="A15" t="s">
        <v>69</v>
      </c>
      <c r="B15" t="s">
        <v>68</v>
      </c>
      <c r="C15" t="s">
        <v>69</v>
      </c>
      <c r="D15">
        <v>88</v>
      </c>
      <c r="E15">
        <v>-10000000</v>
      </c>
      <c r="F15">
        <v>0</v>
      </c>
      <c r="G15" t="s">
        <v>17</v>
      </c>
      <c r="H15">
        <v>1.9616100000000001</v>
      </c>
      <c r="I15">
        <v>-47950.59</v>
      </c>
      <c r="J15">
        <v>0.95238</v>
      </c>
      <c r="K15">
        <v>-45667.16</v>
      </c>
    </row>
    <row r="16" spans="1:11" x14ac:dyDescent="0.3">
      <c r="A16" t="s">
        <v>70</v>
      </c>
      <c r="B16" t="s">
        <v>69</v>
      </c>
      <c r="C16" t="s">
        <v>70</v>
      </c>
      <c r="D16">
        <v>94</v>
      </c>
      <c r="E16">
        <v>-10000000</v>
      </c>
      <c r="F16">
        <v>0</v>
      </c>
      <c r="G16" t="s">
        <v>18</v>
      </c>
      <c r="H16">
        <v>1.9842299999999999</v>
      </c>
      <c r="I16">
        <v>-51810.44</v>
      </c>
      <c r="J16">
        <v>0.948658</v>
      </c>
      <c r="K16">
        <v>-49150.400000000001</v>
      </c>
    </row>
    <row r="17" spans="1:11" x14ac:dyDescent="0.3">
      <c r="A17" t="s">
        <v>71</v>
      </c>
      <c r="B17" t="s">
        <v>70</v>
      </c>
      <c r="C17" t="s">
        <v>71</v>
      </c>
      <c r="D17">
        <v>91</v>
      </c>
      <c r="E17">
        <v>-10000000</v>
      </c>
      <c r="F17">
        <v>0</v>
      </c>
      <c r="G17" t="s">
        <v>19</v>
      </c>
      <c r="H17">
        <v>2.0078499999999999</v>
      </c>
      <c r="I17">
        <v>-50754.04</v>
      </c>
      <c r="J17">
        <v>0.94502699999999995</v>
      </c>
      <c r="K17">
        <v>-47963.92</v>
      </c>
    </row>
    <row r="18" spans="1:11" x14ac:dyDescent="0.3">
      <c r="A18" t="s">
        <v>72</v>
      </c>
      <c r="B18" t="s">
        <v>71</v>
      </c>
      <c r="C18" t="s">
        <v>72</v>
      </c>
      <c r="D18">
        <v>92</v>
      </c>
      <c r="E18">
        <v>-10000000</v>
      </c>
      <c r="F18">
        <v>0</v>
      </c>
      <c r="G18" t="s">
        <v>20</v>
      </c>
      <c r="H18">
        <v>2.0301800000000001</v>
      </c>
      <c r="I18">
        <v>-51882.44</v>
      </c>
      <c r="J18">
        <v>0.94132499999999997</v>
      </c>
      <c r="K18">
        <v>-48838.22</v>
      </c>
    </row>
    <row r="19" spans="1:11" x14ac:dyDescent="0.3">
      <c r="A19" t="s">
        <v>73</v>
      </c>
      <c r="B19" t="s">
        <v>72</v>
      </c>
      <c r="C19" t="s">
        <v>73</v>
      </c>
      <c r="D19">
        <v>91</v>
      </c>
      <c r="E19">
        <v>-10000000</v>
      </c>
      <c r="F19">
        <v>0</v>
      </c>
      <c r="G19" t="s">
        <v>21</v>
      </c>
      <c r="H19">
        <v>2.0526800000000001</v>
      </c>
      <c r="I19">
        <v>-51887.07</v>
      </c>
      <c r="J19">
        <v>0.93762900000000005</v>
      </c>
      <c r="K19">
        <v>-48650.84</v>
      </c>
    </row>
    <row r="20" spans="1:11" x14ac:dyDescent="0.3">
      <c r="A20" t="s">
        <v>74</v>
      </c>
      <c r="B20" t="s">
        <v>73</v>
      </c>
      <c r="C20" t="s">
        <v>74</v>
      </c>
      <c r="D20">
        <v>91</v>
      </c>
      <c r="E20">
        <v>-10000000</v>
      </c>
      <c r="F20">
        <v>0</v>
      </c>
      <c r="G20" t="s">
        <v>22</v>
      </c>
      <c r="H20">
        <v>2.07239</v>
      </c>
      <c r="I20">
        <v>-52385.34</v>
      </c>
      <c r="J20">
        <v>0.93389599999999995</v>
      </c>
      <c r="K20">
        <v>-48922.47</v>
      </c>
    </row>
    <row r="21" spans="1:11" x14ac:dyDescent="0.3">
      <c r="A21" t="s">
        <v>75</v>
      </c>
      <c r="B21" t="s">
        <v>74</v>
      </c>
      <c r="C21" t="s">
        <v>75</v>
      </c>
      <c r="D21">
        <v>92</v>
      </c>
      <c r="E21">
        <v>-10000000</v>
      </c>
      <c r="F21">
        <v>0</v>
      </c>
      <c r="G21" t="s">
        <v>23</v>
      </c>
      <c r="H21">
        <v>2.0952899999999999</v>
      </c>
      <c r="I21">
        <v>-53546.23</v>
      </c>
      <c r="J21">
        <v>0.93007799999999996</v>
      </c>
      <c r="K21">
        <v>-49802.17</v>
      </c>
    </row>
    <row r="22" spans="1:11" x14ac:dyDescent="0.3">
      <c r="A22" t="s">
        <v>76</v>
      </c>
      <c r="B22" t="s">
        <v>75</v>
      </c>
      <c r="C22" t="s">
        <v>76</v>
      </c>
      <c r="D22">
        <v>92</v>
      </c>
      <c r="E22">
        <v>-10000000</v>
      </c>
      <c r="F22">
        <v>0</v>
      </c>
      <c r="G22" t="s">
        <v>24</v>
      </c>
      <c r="H22">
        <v>2.1171600000000002</v>
      </c>
      <c r="I22">
        <v>-54105.22</v>
      </c>
      <c r="J22">
        <v>0.92621100000000001</v>
      </c>
      <c r="K22">
        <v>-50112.84</v>
      </c>
    </row>
    <row r="23" spans="1:11" x14ac:dyDescent="0.3">
      <c r="A23" t="s">
        <v>77</v>
      </c>
      <c r="B23" t="s">
        <v>76</v>
      </c>
      <c r="C23" t="s">
        <v>77</v>
      </c>
      <c r="D23">
        <v>90</v>
      </c>
      <c r="E23">
        <v>-10000000</v>
      </c>
      <c r="F23">
        <v>0</v>
      </c>
      <c r="G23" t="s">
        <v>25</v>
      </c>
      <c r="H23">
        <v>2.13896</v>
      </c>
      <c r="I23">
        <v>-53474.09</v>
      </c>
      <c r="J23">
        <v>0.92237800000000003</v>
      </c>
      <c r="K23">
        <v>-49323.34</v>
      </c>
    </row>
    <row r="24" spans="1:11" x14ac:dyDescent="0.3">
      <c r="A24" t="s">
        <v>78</v>
      </c>
      <c r="B24" t="s">
        <v>77</v>
      </c>
      <c r="C24" t="s">
        <v>78</v>
      </c>
      <c r="D24">
        <v>91</v>
      </c>
      <c r="E24">
        <v>-10000000</v>
      </c>
      <c r="F24">
        <v>0</v>
      </c>
      <c r="G24" t="s">
        <v>26</v>
      </c>
      <c r="H24">
        <v>2.15882</v>
      </c>
      <c r="I24">
        <v>-54570.1</v>
      </c>
      <c r="J24">
        <v>0.918458</v>
      </c>
      <c r="K24">
        <v>-50120.35</v>
      </c>
    </row>
    <row r="25" spans="1:11" x14ac:dyDescent="0.3">
      <c r="A25" t="s">
        <v>79</v>
      </c>
      <c r="B25" t="s">
        <v>78</v>
      </c>
      <c r="C25" t="s">
        <v>79</v>
      </c>
      <c r="D25">
        <v>92</v>
      </c>
      <c r="E25">
        <v>-10000000</v>
      </c>
      <c r="F25">
        <v>0</v>
      </c>
      <c r="G25" t="s">
        <v>27</v>
      </c>
      <c r="H25">
        <v>2.1802899999999998</v>
      </c>
      <c r="I25">
        <v>-55718.64</v>
      </c>
      <c r="J25">
        <v>0.91445399999999999</v>
      </c>
      <c r="K25">
        <v>-50952.12</v>
      </c>
    </row>
    <row r="26" spans="1:11" x14ac:dyDescent="0.3">
      <c r="A26" t="s">
        <v>80</v>
      </c>
      <c r="B26" t="s">
        <v>79</v>
      </c>
      <c r="C26" t="s">
        <v>80</v>
      </c>
      <c r="D26">
        <v>92</v>
      </c>
      <c r="E26">
        <v>-10000000</v>
      </c>
      <c r="F26">
        <v>0</v>
      </c>
      <c r="G26" t="s">
        <v>28</v>
      </c>
      <c r="H26">
        <v>2.1994699999999998</v>
      </c>
      <c r="I26">
        <v>-56208.76</v>
      </c>
      <c r="J26">
        <v>0.91041300000000003</v>
      </c>
      <c r="K26">
        <v>-51173.2</v>
      </c>
    </row>
    <row r="27" spans="1:11" x14ac:dyDescent="0.3">
      <c r="A27" t="s">
        <v>81</v>
      </c>
      <c r="B27" t="s">
        <v>80</v>
      </c>
      <c r="C27" t="s">
        <v>81</v>
      </c>
      <c r="D27">
        <v>90</v>
      </c>
      <c r="E27">
        <v>-10000000</v>
      </c>
      <c r="F27">
        <v>0</v>
      </c>
      <c r="G27" t="s">
        <v>29</v>
      </c>
      <c r="H27">
        <v>2.2170999999999998</v>
      </c>
      <c r="I27">
        <v>-55427.519999999997</v>
      </c>
      <c r="J27">
        <v>0.90642999999999996</v>
      </c>
      <c r="K27">
        <v>-50241.18</v>
      </c>
    </row>
    <row r="28" spans="1:11" x14ac:dyDescent="0.3">
      <c r="A28" t="s">
        <v>82</v>
      </c>
      <c r="B28" t="s">
        <v>81</v>
      </c>
      <c r="C28" t="s">
        <v>82</v>
      </c>
      <c r="D28">
        <v>91</v>
      </c>
      <c r="E28">
        <v>-10000000</v>
      </c>
      <c r="F28">
        <v>0</v>
      </c>
      <c r="G28" t="s">
        <v>30</v>
      </c>
      <c r="H28">
        <v>2.23129</v>
      </c>
      <c r="I28">
        <v>-56401.98</v>
      </c>
      <c r="J28">
        <v>0.90237699999999998</v>
      </c>
      <c r="K28">
        <v>-50895.88</v>
      </c>
    </row>
    <row r="29" spans="1:11" x14ac:dyDescent="0.3">
      <c r="A29" t="s">
        <v>83</v>
      </c>
      <c r="B29" t="s">
        <v>82</v>
      </c>
      <c r="C29" t="s">
        <v>83</v>
      </c>
      <c r="D29">
        <v>92</v>
      </c>
      <c r="E29">
        <v>-10000000</v>
      </c>
      <c r="F29">
        <v>0</v>
      </c>
      <c r="G29" t="s">
        <v>31</v>
      </c>
      <c r="H29">
        <v>2.2465700000000002</v>
      </c>
      <c r="I29">
        <v>-57412.36</v>
      </c>
      <c r="J29">
        <v>0.89825900000000003</v>
      </c>
      <c r="K29">
        <v>-51571.16</v>
      </c>
    </row>
    <row r="30" spans="1:11" x14ac:dyDescent="0.3">
      <c r="A30" t="s">
        <v>84</v>
      </c>
      <c r="B30" t="s">
        <v>83</v>
      </c>
      <c r="C30" t="s">
        <v>84</v>
      </c>
      <c r="D30">
        <v>91</v>
      </c>
      <c r="E30">
        <v>-10000000</v>
      </c>
      <c r="F30">
        <v>0</v>
      </c>
      <c r="G30" t="s">
        <v>32</v>
      </c>
      <c r="H30">
        <v>2.2598500000000001</v>
      </c>
      <c r="I30">
        <v>-57124.09</v>
      </c>
      <c r="J30">
        <v>0.89416799999999996</v>
      </c>
      <c r="K30">
        <v>-51078.559999999998</v>
      </c>
    </row>
    <row r="31" spans="1:11" x14ac:dyDescent="0.3">
      <c r="A31" t="s">
        <v>85</v>
      </c>
      <c r="B31" t="s">
        <v>84</v>
      </c>
      <c r="C31" t="s">
        <v>85</v>
      </c>
      <c r="D31">
        <v>91</v>
      </c>
      <c r="E31">
        <v>-10000000</v>
      </c>
      <c r="F31">
        <v>0</v>
      </c>
      <c r="G31" t="s">
        <v>33</v>
      </c>
      <c r="H31">
        <v>2.27129</v>
      </c>
      <c r="I31">
        <v>-57413.09</v>
      </c>
      <c r="J31">
        <v>0.890065</v>
      </c>
      <c r="K31">
        <v>-51101.37</v>
      </c>
    </row>
    <row r="32" spans="1:11" x14ac:dyDescent="0.3">
      <c r="A32" t="s">
        <v>86</v>
      </c>
      <c r="B32" t="s">
        <v>85</v>
      </c>
      <c r="C32" t="s">
        <v>86</v>
      </c>
      <c r="D32">
        <v>91</v>
      </c>
      <c r="E32">
        <v>-10000000</v>
      </c>
      <c r="F32">
        <v>0</v>
      </c>
      <c r="G32" t="s">
        <v>34</v>
      </c>
      <c r="H32">
        <v>2.2851699999999999</v>
      </c>
      <c r="I32">
        <v>-57763.95</v>
      </c>
      <c r="J32">
        <v>0.88594899999999999</v>
      </c>
      <c r="K32">
        <v>-51175.91</v>
      </c>
    </row>
    <row r="33" spans="1:11" x14ac:dyDescent="0.3">
      <c r="A33" t="s">
        <v>87</v>
      </c>
      <c r="B33" t="s">
        <v>86</v>
      </c>
      <c r="C33" t="s">
        <v>87</v>
      </c>
      <c r="D33">
        <v>91</v>
      </c>
      <c r="E33">
        <v>-10000000</v>
      </c>
      <c r="F33">
        <v>0</v>
      </c>
      <c r="G33" t="s">
        <v>35</v>
      </c>
      <c r="H33">
        <v>2.2987299999999999</v>
      </c>
      <c r="I33">
        <v>-58106.76</v>
      </c>
      <c r="J33">
        <v>0.88182099999999997</v>
      </c>
      <c r="K33">
        <v>-51239.78</v>
      </c>
    </row>
    <row r="34" spans="1:11" x14ac:dyDescent="0.3">
      <c r="A34" t="s">
        <v>88</v>
      </c>
      <c r="B34" t="s">
        <v>87</v>
      </c>
      <c r="C34" t="s">
        <v>88</v>
      </c>
      <c r="D34">
        <v>94</v>
      </c>
      <c r="E34">
        <v>-10000000</v>
      </c>
      <c r="F34">
        <v>0</v>
      </c>
      <c r="G34" t="s">
        <v>36</v>
      </c>
      <c r="H34">
        <v>2.31013</v>
      </c>
      <c r="I34">
        <v>-60320.02</v>
      </c>
      <c r="J34">
        <v>0.87754600000000005</v>
      </c>
      <c r="K34">
        <v>-52933.58</v>
      </c>
    </row>
    <row r="35" spans="1:11" x14ac:dyDescent="0.3">
      <c r="A35" t="s">
        <v>89</v>
      </c>
      <c r="B35" t="s">
        <v>88</v>
      </c>
      <c r="C35" t="s">
        <v>89</v>
      </c>
      <c r="D35">
        <v>88</v>
      </c>
      <c r="E35">
        <v>-10000000</v>
      </c>
      <c r="F35">
        <v>0</v>
      </c>
      <c r="G35" t="s">
        <v>37</v>
      </c>
      <c r="H35">
        <v>2.3222299999999998</v>
      </c>
      <c r="I35">
        <v>-56765.57</v>
      </c>
      <c r="J35">
        <v>0.873533</v>
      </c>
      <c r="K35">
        <v>-49586.58</v>
      </c>
    </row>
    <row r="36" spans="1:11" x14ac:dyDescent="0.3">
      <c r="A36" t="s">
        <v>90</v>
      </c>
      <c r="B36" t="s">
        <v>89</v>
      </c>
      <c r="C36" t="s">
        <v>90</v>
      </c>
      <c r="D36">
        <v>94</v>
      </c>
      <c r="E36">
        <v>-10000000</v>
      </c>
      <c r="F36">
        <v>0</v>
      </c>
      <c r="G36" t="s">
        <v>38</v>
      </c>
      <c r="H36">
        <v>2.3307500000000001</v>
      </c>
      <c r="I36">
        <v>-60858.43</v>
      </c>
      <c r="J36">
        <v>0.86923499999999998</v>
      </c>
      <c r="K36">
        <v>-52900.29</v>
      </c>
    </row>
    <row r="37" spans="1:11" x14ac:dyDescent="0.3">
      <c r="A37" t="s">
        <v>91</v>
      </c>
      <c r="B37" t="s">
        <v>90</v>
      </c>
      <c r="C37" t="s">
        <v>91</v>
      </c>
      <c r="D37">
        <v>91</v>
      </c>
      <c r="E37">
        <v>-10000000</v>
      </c>
      <c r="F37">
        <v>0</v>
      </c>
      <c r="G37" t="s">
        <v>39</v>
      </c>
      <c r="H37">
        <v>2.3401100000000001</v>
      </c>
      <c r="I37">
        <v>-59152.86</v>
      </c>
      <c r="J37">
        <v>0.86506499999999997</v>
      </c>
      <c r="K37">
        <v>-51171.07</v>
      </c>
    </row>
    <row r="38" spans="1:11" x14ac:dyDescent="0.3">
      <c r="A38" t="s">
        <v>92</v>
      </c>
      <c r="B38" t="s">
        <v>91</v>
      </c>
      <c r="C38" t="s">
        <v>92</v>
      </c>
      <c r="D38">
        <v>92</v>
      </c>
      <c r="E38">
        <v>-10000000</v>
      </c>
      <c r="F38">
        <v>0</v>
      </c>
      <c r="G38" t="s">
        <v>40</v>
      </c>
      <c r="H38">
        <v>2.3504299999999998</v>
      </c>
      <c r="I38">
        <v>-60066.49</v>
      </c>
      <c r="J38">
        <v>0.86083900000000002</v>
      </c>
      <c r="K38">
        <v>-51707.61</v>
      </c>
    </row>
    <row r="39" spans="1:11" x14ac:dyDescent="0.3">
      <c r="A39" t="s">
        <v>93</v>
      </c>
      <c r="B39" t="s">
        <v>92</v>
      </c>
      <c r="C39" t="s">
        <v>93</v>
      </c>
      <c r="D39">
        <v>90</v>
      </c>
      <c r="E39">
        <v>-10000000</v>
      </c>
      <c r="F39">
        <v>0</v>
      </c>
      <c r="G39" t="s">
        <v>41</v>
      </c>
      <c r="H39">
        <v>2.3594200000000001</v>
      </c>
      <c r="I39">
        <v>-58985.47</v>
      </c>
      <c r="J39">
        <v>0.85669700000000004</v>
      </c>
      <c r="K39">
        <v>-50532.67</v>
      </c>
    </row>
    <row r="40" spans="1:11" x14ac:dyDescent="0.3">
      <c r="A40" t="s">
        <v>94</v>
      </c>
      <c r="B40" t="s">
        <v>93</v>
      </c>
      <c r="C40" t="s">
        <v>94</v>
      </c>
      <c r="D40">
        <v>91</v>
      </c>
      <c r="E40">
        <v>-10000000</v>
      </c>
      <c r="F40">
        <v>0</v>
      </c>
      <c r="G40" t="s">
        <v>42</v>
      </c>
      <c r="H40">
        <v>2.3663599999999998</v>
      </c>
      <c r="I40">
        <v>-59816.33</v>
      </c>
      <c r="J40">
        <v>0.85250000000000004</v>
      </c>
      <c r="K40">
        <v>-50993.43</v>
      </c>
    </row>
    <row r="41" spans="1:11" x14ac:dyDescent="0.3">
      <c r="A41" t="s">
        <v>95</v>
      </c>
      <c r="B41" t="s">
        <v>94</v>
      </c>
      <c r="C41" t="s">
        <v>95</v>
      </c>
      <c r="D41">
        <v>92</v>
      </c>
      <c r="E41">
        <v>-10000000</v>
      </c>
      <c r="F41">
        <v>0</v>
      </c>
      <c r="G41" t="s">
        <v>43</v>
      </c>
      <c r="H41">
        <v>2.3759899999999998</v>
      </c>
      <c r="I41">
        <v>-60719.81</v>
      </c>
      <c r="J41">
        <v>0.84824900000000003</v>
      </c>
      <c r="K41">
        <v>-51505.52</v>
      </c>
    </row>
    <row r="42" spans="1:11" x14ac:dyDescent="0.3">
      <c r="A42" t="s">
        <v>96</v>
      </c>
      <c r="B42" t="s">
        <v>95</v>
      </c>
      <c r="C42" t="s">
        <v>96</v>
      </c>
      <c r="D42">
        <v>92</v>
      </c>
      <c r="E42">
        <v>-10000000</v>
      </c>
      <c r="F42">
        <v>0</v>
      </c>
      <c r="G42" t="s">
        <v>44</v>
      </c>
      <c r="H42">
        <v>2.3797700000000002</v>
      </c>
      <c r="I42">
        <v>-60816.31</v>
      </c>
      <c r="J42">
        <v>0.84399000000000002</v>
      </c>
      <c r="K42">
        <v>-51328.39</v>
      </c>
    </row>
    <row r="43" spans="1:11" x14ac:dyDescent="0.3">
      <c r="A43" t="s">
        <v>97</v>
      </c>
      <c r="B43" t="s">
        <v>96</v>
      </c>
      <c r="C43" t="s">
        <v>97</v>
      </c>
      <c r="D43">
        <v>90</v>
      </c>
      <c r="E43">
        <v>-10000000</v>
      </c>
      <c r="F43">
        <v>0</v>
      </c>
      <c r="G43" t="s">
        <v>45</v>
      </c>
      <c r="H43">
        <v>2.3862899999999998</v>
      </c>
      <c r="I43">
        <v>-59657.24</v>
      </c>
      <c r="J43">
        <v>0.83981899999999998</v>
      </c>
      <c r="K43">
        <v>-50101.26</v>
      </c>
    </row>
    <row r="44" spans="1:11" x14ac:dyDescent="0.3">
      <c r="A44" t="s">
        <v>98</v>
      </c>
      <c r="B44" t="s">
        <v>97</v>
      </c>
      <c r="C44" t="s">
        <v>98</v>
      </c>
      <c r="D44">
        <v>91</v>
      </c>
      <c r="E44">
        <v>-10000000</v>
      </c>
      <c r="F44">
        <v>0</v>
      </c>
      <c r="G44" t="s">
        <v>46</v>
      </c>
      <c r="H44">
        <v>2.38768</v>
      </c>
      <c r="I44">
        <v>-60355.199999999997</v>
      </c>
      <c r="J44">
        <v>0.83559799999999995</v>
      </c>
      <c r="K44">
        <v>-50432.69</v>
      </c>
    </row>
    <row r="45" spans="1:11" x14ac:dyDescent="0.3">
      <c r="A45" t="s">
        <v>99</v>
      </c>
      <c r="B45" t="s">
        <v>98</v>
      </c>
      <c r="C45" t="s">
        <v>99</v>
      </c>
      <c r="D45">
        <v>92</v>
      </c>
      <c r="E45">
        <v>-10000000</v>
      </c>
      <c r="F45">
        <v>-10000000</v>
      </c>
      <c r="G45" t="s">
        <v>47</v>
      </c>
      <c r="H45">
        <v>2.3932799999999999</v>
      </c>
      <c r="I45">
        <v>-10061161.68</v>
      </c>
      <c r="J45">
        <v>0.83133299999999999</v>
      </c>
      <c r="K45">
        <v>-8364177.4400000004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33700-2E8F-4AC0-8C62-92EBC43BB83B}">
  <sheetPr codeName="Sheet3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7709-50C2-4601-95B3-F9CD596976EF}">
  <sheetPr codeName="Sheet4"/>
  <dimension ref="A2:O27"/>
  <sheetViews>
    <sheetView workbookViewId="0">
      <selection activeCell="B28" sqref="B28"/>
    </sheetView>
  </sheetViews>
  <sheetFormatPr defaultRowHeight="14.4" x14ac:dyDescent="0.3"/>
  <cols>
    <col min="2" max="2" width="14.44140625" customWidth="1"/>
    <col min="3" max="3" width="12" customWidth="1"/>
    <col min="4" max="4" width="11.77734375" customWidth="1"/>
    <col min="8" max="9" width="13.109375" customWidth="1"/>
    <col min="12" max="12" width="10.88671875" customWidth="1"/>
    <col min="13" max="13" width="16.33203125" customWidth="1"/>
  </cols>
  <sheetData>
    <row r="2" spans="1:15" x14ac:dyDescent="0.3">
      <c r="B2" t="s">
        <v>105</v>
      </c>
      <c r="C2" t="s">
        <v>106</v>
      </c>
    </row>
    <row r="3" spans="1:15" x14ac:dyDescent="0.3">
      <c r="B3" t="s">
        <v>112</v>
      </c>
      <c r="C3" s="2">
        <v>43830</v>
      </c>
      <c r="D3" t="s">
        <v>111</v>
      </c>
      <c r="E3" t="s">
        <v>119</v>
      </c>
      <c r="F3" t="s">
        <v>120</v>
      </c>
    </row>
    <row r="4" spans="1:15" x14ac:dyDescent="0.3">
      <c r="B4" t="s">
        <v>0</v>
      </c>
      <c r="C4" s="2">
        <v>45225</v>
      </c>
      <c r="D4">
        <f>YEARFRAC($C$3,C4,1)</f>
        <v>3.8198247535596934</v>
      </c>
      <c r="E4">
        <f>interpolate(D4,'USD LIBOR3M'!A2:A26,'USD LIBOR3M'!C2:C26,1)</f>
        <v>1.7013916109311529E-2</v>
      </c>
      <c r="F4">
        <f>(1+E4)^-D4</f>
        <v>0.93758908540498875</v>
      </c>
    </row>
    <row r="5" spans="1:15" x14ac:dyDescent="0.3">
      <c r="B5" t="s">
        <v>107</v>
      </c>
      <c r="C5" s="2">
        <f>C4+365*5</f>
        <v>47050</v>
      </c>
    </row>
    <row r="6" spans="1:15" x14ac:dyDescent="0.3">
      <c r="H6" t="s">
        <v>109</v>
      </c>
      <c r="I6" t="s">
        <v>102</v>
      </c>
      <c r="J6" t="s">
        <v>111</v>
      </c>
      <c r="K6" t="s">
        <v>116</v>
      </c>
      <c r="L6" t="s">
        <v>117</v>
      </c>
      <c r="M6" t="s">
        <v>118</v>
      </c>
      <c r="N6" t="s">
        <v>113</v>
      </c>
      <c r="O6" t="s">
        <v>121</v>
      </c>
    </row>
    <row r="7" spans="1:15" x14ac:dyDescent="0.3">
      <c r="B7" t="s">
        <v>108</v>
      </c>
      <c r="C7" t="s">
        <v>102</v>
      </c>
      <c r="D7" t="s">
        <v>110</v>
      </c>
      <c r="E7" t="s">
        <v>113</v>
      </c>
      <c r="F7" t="s">
        <v>114</v>
      </c>
      <c r="H7" s="2">
        <f>C4+365/4</f>
        <v>45316.25</v>
      </c>
      <c r="I7" s="3">
        <f>YEARFRAC($C$3,H7,1)</f>
        <v>4.0675182481751824</v>
      </c>
      <c r="J7">
        <v>0.25</v>
      </c>
      <c r="K7" s="5">
        <f>interpolate(I7,'USD LIBOR3M'!$A$2:$A$26,'USD LIBOR3M'!$C$2:$C$26,1)</f>
        <v>1.7057144467272276E-2</v>
      </c>
      <c r="L7" s="3">
        <f>(1+K7)^-I7</f>
        <v>0.93351786768030232</v>
      </c>
      <c r="M7" s="5">
        <f>(F4/L7-1)/J7</f>
        <v>1.7444626892050508E-2</v>
      </c>
      <c r="N7" s="5">
        <f>interpolate(I7,USDOIS!$A$2:$A$28,USDOIS!$C$2:$C$28,1)</f>
        <v>1.470673691170646E-2</v>
      </c>
      <c r="O7" s="3">
        <f>(1+N7)^-I7</f>
        <v>0.94234454844226578</v>
      </c>
    </row>
    <row r="8" spans="1:15" x14ac:dyDescent="0.3">
      <c r="A8">
        <v>1</v>
      </c>
      <c r="B8" s="2">
        <f>C4+365</f>
        <v>45590</v>
      </c>
      <c r="C8" s="3">
        <f>YEARFRAC($C$3,B8,1)</f>
        <v>4.8175182481751824</v>
      </c>
      <c r="D8">
        <v>1</v>
      </c>
      <c r="E8" s="5">
        <f>interpolate(C8,USDOIS!$A$2:$A$28,USDOIS!$C$2:$C$28,1)</f>
        <v>1.489871718731702E-2</v>
      </c>
      <c r="F8" s="3">
        <f>(1+E8)^-C8</f>
        <v>0.93123332321211127</v>
      </c>
      <c r="H8" s="2">
        <f>H7+365/4</f>
        <v>45407.5</v>
      </c>
      <c r="I8" s="3">
        <f>YEARFRAC($C$3,H8,1)</f>
        <v>4.3166058394160585</v>
      </c>
      <c r="J8">
        <v>0.25</v>
      </c>
      <c r="K8" s="5">
        <f>interpolate(I8,'USD LIBOR3M'!$A$2:$A$26,'USD LIBOR3M'!$C$2:$C$26,1)</f>
        <v>1.7122870092563129E-2</v>
      </c>
      <c r="L8" s="3">
        <f t="shared" ref="L8:L26" si="0">(1+K8)^-I8</f>
        <v>0.92933405943957847</v>
      </c>
      <c r="M8" s="5">
        <f>(L7/L8-1)/J8</f>
        <v>1.8007768888818276E-2</v>
      </c>
      <c r="N8" s="5">
        <f>interpolate(I8,USDOIS!$A$2:$A$28,USDOIS!$C$2:$C$28,1)</f>
        <v>1.4770496784263253E-2</v>
      </c>
      <c r="O8" s="3">
        <f t="shared" ref="O8:O26" si="1">(1+N8)^-I8</f>
        <v>0.93866922313734025</v>
      </c>
    </row>
    <row r="9" spans="1:15" x14ac:dyDescent="0.3">
      <c r="A9">
        <v>2</v>
      </c>
      <c r="B9" s="2">
        <f>B8+365</f>
        <v>45955</v>
      </c>
      <c r="C9" s="3">
        <f t="shared" ref="C9:C12" si="2">YEARFRAC($C$3,B9,1)</f>
        <v>5.817364098552992</v>
      </c>
      <c r="D9">
        <v>1</v>
      </c>
      <c r="E9" s="5">
        <f>interpolate(C9,USDOIS!$A$2:$A$28,USDOIS!$C$2:$C$28,1)</f>
        <v>1.5238766031390375E-2</v>
      </c>
      <c r="F9" s="3">
        <f t="shared" ref="F9:F12" si="3">(1+E9)^-C9</f>
        <v>0.91577847701456372</v>
      </c>
      <c r="H9" s="2">
        <f t="shared" ref="H9:H26" si="4">H8+365/4</f>
        <v>45498.75</v>
      </c>
      <c r="I9" s="3">
        <f>YEARFRAC($C$3,H9,1)</f>
        <v>4.5656934306569346</v>
      </c>
      <c r="J9">
        <v>0.25</v>
      </c>
      <c r="K9" s="5">
        <f>interpolate(I9,'USD LIBOR3M'!$A$2:$A$26,'USD LIBOR3M'!$C$2:$C$26,1)</f>
        <v>1.7188595717853979E-2</v>
      </c>
      <c r="L9" s="3">
        <f t="shared" si="0"/>
        <v>0.92513923647360463</v>
      </c>
      <c r="M9" s="5">
        <f t="shared" ref="M9:M26" si="5">(L8/L9-1)/J9</f>
        <v>1.8137044892672982E-2</v>
      </c>
      <c r="N9" s="5">
        <f>interpolate(I9,USDOIS!$A$2:$A$28,USDOIS!$C$2:$C$28,1)</f>
        <v>1.4834256656820043E-2</v>
      </c>
      <c r="O9" s="3">
        <f t="shared" si="1"/>
        <v>0.93497898177298944</v>
      </c>
    </row>
    <row r="10" spans="1:15" x14ac:dyDescent="0.3">
      <c r="A10">
        <v>3</v>
      </c>
      <c r="B10" s="2">
        <f t="shared" ref="B10:B12" si="6">B9+365</f>
        <v>46320</v>
      </c>
      <c r="C10" s="3">
        <f t="shared" si="2"/>
        <v>6.8172484599589325</v>
      </c>
      <c r="D10">
        <v>1</v>
      </c>
      <c r="E10" s="5">
        <f>interpolate(C10,USDOIS!$A$2:$A$28,USDOIS!$C$2:$C$28,1)</f>
        <v>1.559885355277707E-2</v>
      </c>
      <c r="F10" s="3">
        <f t="shared" si="3"/>
        <v>0.8998561291305176</v>
      </c>
      <c r="H10" s="2">
        <f t="shared" si="4"/>
        <v>45590</v>
      </c>
      <c r="I10" s="3">
        <f>YEARFRAC($C$3,H10,1)</f>
        <v>4.8175182481751824</v>
      </c>
      <c r="J10">
        <v>0.25</v>
      </c>
      <c r="K10" s="5">
        <f>interpolate(I10,'USD LIBOR3M'!$A$2:$A$26,'USD LIBOR3M'!$C$2:$C$26,1)</f>
        <v>1.7255043602763413E-2</v>
      </c>
      <c r="L10" s="3">
        <f t="shared" si="0"/>
        <v>0.92088744802438594</v>
      </c>
      <c r="M10" s="5">
        <f t="shared" si="5"/>
        <v>1.8468221967148146E-2</v>
      </c>
      <c r="N10" s="5">
        <f>interpolate(I10,USDOIS!$A$2:$A$28,USDOIS!$C$2:$C$28,1)</f>
        <v>1.489871718731702E-2</v>
      </c>
      <c r="O10" s="3">
        <f t="shared" si="1"/>
        <v>0.93123332321211127</v>
      </c>
    </row>
    <row r="11" spans="1:15" x14ac:dyDescent="0.3">
      <c r="A11">
        <v>4</v>
      </c>
      <c r="B11" s="2">
        <f t="shared" si="6"/>
        <v>46685</v>
      </c>
      <c r="C11" s="3">
        <f t="shared" si="2"/>
        <v>7.8171585031944018</v>
      </c>
      <c r="D11">
        <v>1</v>
      </c>
      <c r="E11" s="5">
        <f>interpolate(C11,USDOIS!$A$2:$A$28,USDOIS!$C$2:$C$28,1)</f>
        <v>1.5944198950965983E-2</v>
      </c>
      <c r="F11" s="3">
        <f t="shared" si="3"/>
        <v>0.8836845373136194</v>
      </c>
      <c r="H11" s="2">
        <f t="shared" si="4"/>
        <v>45681.25</v>
      </c>
      <c r="I11" s="3">
        <f>YEARFRAC($C$3,H11,1)</f>
        <v>5.0672663277278058</v>
      </c>
      <c r="J11">
        <v>0.25</v>
      </c>
      <c r="K11" s="5">
        <f>interpolate(I11,'USD LIBOR3M'!$A$2:$A$26,'USD LIBOR3M'!$C$2:$C$26,1)</f>
        <v>1.7325646607093664E-2</v>
      </c>
      <c r="L11" s="3">
        <f t="shared" si="0"/>
        <v>0.9166387824178629</v>
      </c>
      <c r="M11" s="5">
        <f t="shared" si="5"/>
        <v>1.8540195715115004E-2</v>
      </c>
      <c r="N11" s="5">
        <f>interpolate(I11,USDOIS!$A$2:$A$28,USDOIS!$C$2:$C$28,1)</f>
        <v>1.4968633946601754E-2</v>
      </c>
      <c r="O11" s="3">
        <f t="shared" si="1"/>
        <v>0.92747636151778035</v>
      </c>
    </row>
    <row r="12" spans="1:15" x14ac:dyDescent="0.3">
      <c r="A12">
        <v>5</v>
      </c>
      <c r="B12" s="2">
        <f t="shared" si="6"/>
        <v>47050</v>
      </c>
      <c r="C12" s="6">
        <f t="shared" si="2"/>
        <v>8.8146728716123732</v>
      </c>
      <c r="D12" s="7">
        <v>1</v>
      </c>
      <c r="E12" s="8">
        <f>interpolate(C12,USDOIS!$A$2:$A$28,USDOIS!$C$2:$C$28,1)</f>
        <v>1.6285153589702374E-2</v>
      </c>
      <c r="F12" s="6">
        <f t="shared" si="3"/>
        <v>0.86728122822075993</v>
      </c>
      <c r="H12" s="2">
        <f t="shared" si="4"/>
        <v>45772.5</v>
      </c>
      <c r="I12" s="3">
        <f>YEARFRAC($C$3,H12,1)</f>
        <v>5.3163863903011341</v>
      </c>
      <c r="J12">
        <v>0.25</v>
      </c>
      <c r="K12" s="5">
        <f>interpolate(I12,'USD LIBOR3M'!$A$2:$A$26,'USD LIBOR3M'!$C$2:$C$26,1)</f>
        <v>1.7411760895906014E-2</v>
      </c>
      <c r="L12" s="3">
        <f t="shared" si="0"/>
        <v>0.91231404567575369</v>
      </c>
      <c r="M12" s="5">
        <f t="shared" si="5"/>
        <v>1.8961614205581512E-2</v>
      </c>
      <c r="N12" s="5">
        <f>interpolate(I12,USDOIS!$A$2:$A$28,USDOIS!$C$2:$C$28,1)</f>
        <v>1.5058349347024252E-2</v>
      </c>
      <c r="O12" s="3">
        <f t="shared" si="1"/>
        <v>0.92361567374448084</v>
      </c>
    </row>
    <row r="13" spans="1:15" x14ac:dyDescent="0.3">
      <c r="E13" t="s">
        <v>115</v>
      </c>
      <c r="F13" s="3">
        <f>SUMPRODUCT(D8:D12,F8:F12)</f>
        <v>4.4978336948915718</v>
      </c>
      <c r="H13" s="2">
        <f t="shared" si="4"/>
        <v>45863.75</v>
      </c>
      <c r="I13" s="3">
        <f>YEARFRAC($C$3,H13,1)</f>
        <v>5.5655064528744624</v>
      </c>
      <c r="J13">
        <v>0.25</v>
      </c>
      <c r="K13" s="5">
        <f>interpolate(I13,'USD LIBOR3M'!$A$2:$A$26,'USD LIBOR3M'!$C$2:$C$26,1)</f>
        <v>1.7497875184718362E-2</v>
      </c>
      <c r="L13" s="3">
        <f t="shared" si="0"/>
        <v>0.90797145662993561</v>
      </c>
      <c r="M13" s="5">
        <f t="shared" si="5"/>
        <v>1.913094960908257E-2</v>
      </c>
      <c r="N13" s="5">
        <f>interpolate(I13,USDOIS!$A$2:$A$28,USDOIS!$C$2:$C$28,1)</f>
        <v>1.514806474744675E-2</v>
      </c>
      <c r="O13" s="3">
        <f t="shared" si="1"/>
        <v>0.91973059177824779</v>
      </c>
    </row>
    <row r="14" spans="1:15" x14ac:dyDescent="0.3">
      <c r="H14" s="2">
        <f t="shared" si="4"/>
        <v>45955</v>
      </c>
      <c r="I14" s="3">
        <f>YEARFRAC($C$3,H14,1)</f>
        <v>5.817364098552992</v>
      </c>
      <c r="J14">
        <v>0.25</v>
      </c>
      <c r="K14" s="5">
        <f>interpolate(I14,'USD LIBOR3M'!$A$2:$A$26,'USD LIBOR3M'!$C$2:$C$26,1)</f>
        <v>1.758493578439678E-2</v>
      </c>
      <c r="L14" s="3">
        <f t="shared" si="0"/>
        <v>0.90356346325799219</v>
      </c>
      <c r="M14" s="5">
        <f t="shared" si="5"/>
        <v>1.9513818569198982E-2</v>
      </c>
      <c r="N14" s="5">
        <f>interpolate(I14,USDOIS!$A$2:$A$28,USDOIS!$C$2:$C$28,1)</f>
        <v>1.5238766031390375E-2</v>
      </c>
      <c r="O14" s="3">
        <f t="shared" si="1"/>
        <v>0.91577847701456372</v>
      </c>
    </row>
    <row r="15" spans="1:15" x14ac:dyDescent="0.3">
      <c r="H15" s="2">
        <f t="shared" si="4"/>
        <v>46046.25</v>
      </c>
      <c r="I15" s="3">
        <f>YEARFRAC($C$3,H15,1)</f>
        <v>6.0670773442847361</v>
      </c>
      <c r="J15">
        <v>0.25</v>
      </c>
      <c r="K15" s="5">
        <f>interpolate(I15,'USD LIBOR3M'!$A$2:$A$26,'USD LIBOR3M'!$C$2:$C$26,1)</f>
        <v>1.7672215564654276E-2</v>
      </c>
      <c r="L15" s="3">
        <f t="shared" si="0"/>
        <v>0.89917075965949256</v>
      </c>
      <c r="M15" s="5">
        <f t="shared" si="5"/>
        <v>1.9541131876499307E-2</v>
      </c>
      <c r="N15" s="5">
        <f>interpolate(I15,USDOIS!$A$2:$A$28,USDOIS!$C$2:$C$28,1)</f>
        <v>1.5328695054369127E-2</v>
      </c>
      <c r="O15" s="3">
        <f t="shared" si="1"/>
        <v>0.91183630732595033</v>
      </c>
    </row>
    <row r="16" spans="1:15" x14ac:dyDescent="0.3">
      <c r="H16" s="2">
        <f t="shared" si="4"/>
        <v>46137.5</v>
      </c>
      <c r="I16" s="3">
        <f>YEARFRAC($C$3,H16,1)</f>
        <v>6.3162217659137578</v>
      </c>
      <c r="J16">
        <v>0.25</v>
      </c>
      <c r="K16" s="5">
        <f>interpolate(I16,'USD LIBOR3M'!$A$2:$A$26,'USD LIBOR3M'!$C$2:$C$26,1)</f>
        <v>1.7762938292836847E-2</v>
      </c>
      <c r="L16" s="3">
        <f t="shared" si="0"/>
        <v>0.89475096659272801</v>
      </c>
      <c r="M16" s="5">
        <f t="shared" si="5"/>
        <v>1.9758762971088473E-2</v>
      </c>
      <c r="N16" s="5">
        <f>interpolate(I16,USDOIS!$A$2:$A$28,USDOIS!$C$2:$C$28,1)</f>
        <v>1.5418419227198043E-2</v>
      </c>
      <c r="O16" s="3">
        <f t="shared" si="1"/>
        <v>0.90788004892988394</v>
      </c>
    </row>
    <row r="17" spans="3:15" x14ac:dyDescent="0.3">
      <c r="H17" s="2">
        <f t="shared" si="4"/>
        <v>46228.75</v>
      </c>
      <c r="I17" s="3">
        <f>YEARFRAC($C$3,H17,1)</f>
        <v>6.5653661875427787</v>
      </c>
      <c r="J17">
        <v>0.25</v>
      </c>
      <c r="K17" s="5">
        <f>interpolate(I17,'USD LIBOR3M'!$A$2:$A$26,'USD LIBOR3M'!$C$2:$C$26,1)</f>
        <v>1.7853661021019422E-2</v>
      </c>
      <c r="L17" s="3">
        <f t="shared" si="0"/>
        <v>0.89031339724928182</v>
      </c>
      <c r="M17" s="5">
        <f t="shared" si="5"/>
        <v>1.9937111390917472E-2</v>
      </c>
      <c r="N17" s="5">
        <f>interpolate(I17,USDOIS!$A$2:$A$28,USDOIS!$C$2:$C$28,1)</f>
        <v>1.5508143400026958E-2</v>
      </c>
      <c r="O17" s="3">
        <f t="shared" si="1"/>
        <v>0.90390120109023286</v>
      </c>
    </row>
    <row r="18" spans="3:15" x14ac:dyDescent="0.3">
      <c r="H18" s="2">
        <f t="shared" si="4"/>
        <v>46320</v>
      </c>
      <c r="I18" s="3">
        <f>YEARFRAC($C$3,H18,1)</f>
        <v>6.8172484599589325</v>
      </c>
      <c r="J18">
        <v>0.25</v>
      </c>
      <c r="K18" s="5">
        <f>interpolate(I18,'USD LIBOR3M'!$A$2:$A$26,'USD LIBOR3M'!$C$2:$C$26,1)</f>
        <v>1.7945380702258946E-2</v>
      </c>
      <c r="L18" s="3">
        <f t="shared" si="0"/>
        <v>0.88580948908813895</v>
      </c>
      <c r="M18" s="5">
        <f t="shared" si="5"/>
        <v>2.0338044315958648E-2</v>
      </c>
      <c r="N18" s="5">
        <f>interpolate(I18,USDOIS!$A$2:$A$28,USDOIS!$C$2:$C$28,1)</f>
        <v>1.559885355277707E-2</v>
      </c>
      <c r="O18" s="3">
        <f t="shared" si="1"/>
        <v>0.8998561291305176</v>
      </c>
    </row>
    <row r="19" spans="3:15" x14ac:dyDescent="0.3">
      <c r="H19" s="2">
        <f t="shared" si="4"/>
        <v>46411.25</v>
      </c>
      <c r="I19" s="3">
        <f>YEARFRAC($C$3,H19,1)</f>
        <v>7.0669303316093703</v>
      </c>
      <c r="J19">
        <v>0.25</v>
      </c>
      <c r="K19" s="5">
        <f>interpolate(I19,'USD LIBOR3M'!$A$2:$A$26,'USD LIBOR3M'!$C$2:$C$26,1)</f>
        <v>1.8035174094248596E-2</v>
      </c>
      <c r="L19" s="3">
        <f t="shared" si="0"/>
        <v>0.88133486217222301</v>
      </c>
      <c r="M19" s="5">
        <f t="shared" si="5"/>
        <v>2.0308407657390504E-2</v>
      </c>
      <c r="N19" s="5">
        <f>interpolate(I19,USDOIS!$A$2:$A$28,USDOIS!$C$2:$C$28,1)</f>
        <v>1.5687767782341995E-2</v>
      </c>
      <c r="O19" s="3">
        <f t="shared" si="1"/>
        <v>0.89583078138208894</v>
      </c>
    </row>
    <row r="20" spans="3:15" x14ac:dyDescent="0.3">
      <c r="C20" t="s">
        <v>122</v>
      </c>
      <c r="D20" s="9">
        <f>O27/F13</f>
        <v>1.9816885286485154E-2</v>
      </c>
      <c r="H20" s="2">
        <f t="shared" si="4"/>
        <v>46502.5</v>
      </c>
      <c r="I20" s="3">
        <f>YEARFRAC($C$3,H20,1)</f>
        <v>7.3160937024642534</v>
      </c>
      <c r="J20">
        <v>0.25</v>
      </c>
      <c r="K20" s="5">
        <f>interpolate(I20,'USD LIBOR3M'!$A$2:$A$26,'USD LIBOR3M'!$C$2:$C$26,1)</f>
        <v>1.8120784782870211E-2</v>
      </c>
      <c r="L20" s="3">
        <f t="shared" si="0"/>
        <v>0.87687878724892887</v>
      </c>
      <c r="M20" s="5">
        <f t="shared" si="5"/>
        <v>2.0326982420338702E-2</v>
      </c>
      <c r="N20" s="5">
        <f>interpolate(I20,USDOIS!$A$2:$A$28,USDOIS!$C$2:$C$28,1)</f>
        <v>1.5772932878490839E-2</v>
      </c>
      <c r="O20" s="3">
        <f t="shared" si="1"/>
        <v>0.89181582311552732</v>
      </c>
    </row>
    <row r="21" spans="3:15" x14ac:dyDescent="0.3">
      <c r="H21" s="2">
        <f t="shared" si="4"/>
        <v>46593.75</v>
      </c>
      <c r="I21" s="3">
        <f>YEARFRAC($C$3,H21,1)</f>
        <v>7.5652570733191356</v>
      </c>
      <c r="J21">
        <v>0.25</v>
      </c>
      <c r="K21" s="5">
        <f>interpolate(I21,'USD LIBOR3M'!$A$2:$A$26,'USD LIBOR3M'!$C$2:$C$26,1)</f>
        <v>1.8206395471491821E-2</v>
      </c>
      <c r="L21" s="3">
        <f t="shared" si="0"/>
        <v>0.87240873048254886</v>
      </c>
      <c r="M21" s="5">
        <f t="shared" si="5"/>
        <v>2.0495240866778452E-2</v>
      </c>
      <c r="N21" s="5">
        <f>interpolate(I21,USDOIS!$A$2:$A$28,USDOIS!$C$2:$C$28,1)</f>
        <v>1.585809797463968E-2</v>
      </c>
      <c r="O21" s="3">
        <f t="shared" si="1"/>
        <v>0.88778181163738978</v>
      </c>
    </row>
    <row r="22" spans="3:15" x14ac:dyDescent="0.3">
      <c r="H22" s="2">
        <f t="shared" si="4"/>
        <v>46685</v>
      </c>
      <c r="I22" s="3">
        <f>YEARFRAC($C$3,H22,1)</f>
        <v>7.8171585031944018</v>
      </c>
      <c r="J22">
        <v>0.25</v>
      </c>
      <c r="K22" s="5">
        <f>interpolate(I22,'USD LIBOR3M'!$A$2:$A$26,'USD LIBOR3M'!$C$2:$C$26,1)</f>
        <v>1.8292946936911476E-2</v>
      </c>
      <c r="L22" s="3">
        <f t="shared" si="0"/>
        <v>0.86787579720112007</v>
      </c>
      <c r="M22" s="5">
        <f t="shared" si="5"/>
        <v>2.0892082927291611E-2</v>
      </c>
      <c r="N22" s="5">
        <f>interpolate(I22,USDOIS!$A$2:$A$28,USDOIS!$C$2:$C$28,1)</f>
        <v>1.5944198950965983E-2</v>
      </c>
      <c r="O22" s="3">
        <f t="shared" si="1"/>
        <v>0.8836845373136194</v>
      </c>
    </row>
    <row r="23" spans="3:15" x14ac:dyDescent="0.3">
      <c r="H23" s="2">
        <f t="shared" si="4"/>
        <v>46776.25</v>
      </c>
      <c r="I23" s="3">
        <f>YEARFRAC($C$3,H23,1)</f>
        <v>8.064604434711196</v>
      </c>
      <c r="J23">
        <v>0.25</v>
      </c>
      <c r="K23" s="5">
        <f>interpolate(I23,'USD LIBOR3M'!$A$2:$A$26,'USD LIBOR3M'!$C$2:$C$26,1)</f>
        <v>1.837812561544621E-2</v>
      </c>
      <c r="L23" s="3">
        <f t="shared" si="0"/>
        <v>0.86340894050003658</v>
      </c>
      <c r="M23" s="5">
        <f t="shared" si="5"/>
        <v>2.0694048864013936E-2</v>
      </c>
      <c r="N23" s="5">
        <f>interpolate(I23,USDOIS!$A$2:$A$28,USDOIS!$C$2:$C$28,1)</f>
        <v>1.6028777019070309E-2</v>
      </c>
      <c r="O23" s="3">
        <f t="shared" si="1"/>
        <v>0.87964162452760353</v>
      </c>
    </row>
    <row r="24" spans="3:15" x14ac:dyDescent="0.3">
      <c r="H24" s="2">
        <f t="shared" si="4"/>
        <v>46867.5</v>
      </c>
      <c r="I24" s="3">
        <f>YEARFRAC($C$3,H24,1)</f>
        <v>8.3137147549958943</v>
      </c>
      <c r="J24">
        <v>0.25</v>
      </c>
      <c r="K24" s="5">
        <f>interpolate(I24,'USD LIBOR3M'!$A$2:$A$26,'USD LIBOR3M'!$C$2:$C$26,1)</f>
        <v>1.846443738281945E-2</v>
      </c>
      <c r="L24" s="3">
        <f t="shared" si="0"/>
        <v>0.85889546962198737</v>
      </c>
      <c r="M24" s="5">
        <f t="shared" si="5"/>
        <v>2.1019884433832736E-2</v>
      </c>
      <c r="N24" s="5">
        <f>interpolate(I24,USDOIS!$A$2:$A$28,USDOIS!$C$2:$C$28,1)</f>
        <v>1.6113923982309427E-2</v>
      </c>
      <c r="O24" s="3">
        <f t="shared" si="1"/>
        <v>0.87555381547749533</v>
      </c>
    </row>
    <row r="25" spans="3:15" x14ac:dyDescent="0.3">
      <c r="H25" s="2">
        <f t="shared" si="4"/>
        <v>46958.75</v>
      </c>
      <c r="I25" s="3">
        <f>YEARFRAC($C$3,H25,1)</f>
        <v>8.5628250752805908</v>
      </c>
      <c r="J25">
        <v>0.25</v>
      </c>
      <c r="K25" s="5">
        <f>interpolate(I25,'USD LIBOR3M'!$A$2:$A$26,'USD LIBOR3M'!$C$2:$C$26,1)</f>
        <v>1.855074915019269E-2</v>
      </c>
      <c r="L25" s="3">
        <f t="shared" si="0"/>
        <v>0.85436956939281195</v>
      </c>
      <c r="M25" s="5">
        <f t="shared" si="5"/>
        <v>2.1189426174866632E-2</v>
      </c>
      <c r="N25" s="5">
        <f>interpolate(I25,USDOIS!$A$2:$A$28,USDOIS!$C$2:$C$28,1)</f>
        <v>1.6199070945548542E-2</v>
      </c>
      <c r="O25" s="3">
        <f t="shared" si="1"/>
        <v>0.87144867081214672</v>
      </c>
    </row>
    <row r="26" spans="3:15" x14ac:dyDescent="0.3">
      <c r="H26" s="2">
        <f t="shared" si="4"/>
        <v>47050</v>
      </c>
      <c r="I26" s="6">
        <f>YEARFRAC($C$3,H26,1)</f>
        <v>8.8146728716123732</v>
      </c>
      <c r="J26" s="7">
        <v>0.25</v>
      </c>
      <c r="K26" s="8">
        <f>interpolate(I26,'USD LIBOR3M'!$A$2:$A$26,'USD LIBOR3M'!$C$2:$C$26,1)</f>
        <v>1.8638009398526074E-2</v>
      </c>
      <c r="L26" s="6">
        <f t="shared" si="0"/>
        <v>0.84978175883218909</v>
      </c>
      <c r="M26" s="8">
        <f t="shared" si="5"/>
        <v>2.1595241427293743E-2</v>
      </c>
      <c r="N26" s="8">
        <f>interpolate(I26,USDOIS!$A$2:$A$28,USDOIS!$C$2:$C$28,1)</f>
        <v>1.6285153589702374E-2</v>
      </c>
      <c r="O26" s="6">
        <f t="shared" si="1"/>
        <v>0.86728122822075993</v>
      </c>
    </row>
    <row r="27" spans="3:15" x14ac:dyDescent="0.3">
      <c r="O27" s="3">
        <f>SUMPRODUCT(J7:J26,M7:M26,O7:O26)</f>
        <v>8.9133054369353953E-2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89229-B9FB-42EE-8714-110F9F61DBCC}">
  <sheetPr codeName="Sheet5"/>
  <dimension ref="A1:C26"/>
  <sheetViews>
    <sheetView workbookViewId="0">
      <selection activeCell="E3" sqref="E3"/>
    </sheetView>
  </sheetViews>
  <sheetFormatPr defaultRowHeight="14.4" x14ac:dyDescent="0.3"/>
  <cols>
    <col min="1" max="1" width="11.77734375" customWidth="1"/>
  </cols>
  <sheetData>
    <row r="1" spans="1:3" x14ac:dyDescent="0.3">
      <c r="A1" s="4" t="s">
        <v>102</v>
      </c>
      <c r="B1" s="4" t="s">
        <v>103</v>
      </c>
      <c r="C1" t="s">
        <v>104</v>
      </c>
    </row>
    <row r="2" spans="1:3" x14ac:dyDescent="0.3">
      <c r="A2" s="3">
        <v>0</v>
      </c>
      <c r="C2">
        <f>B2/100</f>
        <v>0</v>
      </c>
    </row>
    <row r="3" spans="1:3" x14ac:dyDescent="0.3">
      <c r="A3" s="3">
        <v>0.25683060109289618</v>
      </c>
      <c r="B3">
        <v>1.90867596972472</v>
      </c>
      <c r="C3">
        <f t="shared" ref="C3:C26" si="0">B3/100</f>
        <v>1.9086759697247199E-2</v>
      </c>
    </row>
    <row r="4" spans="1:3" x14ac:dyDescent="0.3">
      <c r="A4" s="3">
        <v>0.46174863387978143</v>
      </c>
      <c r="B4">
        <v>1.8488638890271401</v>
      </c>
      <c r="C4">
        <f t="shared" si="0"/>
        <v>1.84886388902714E-2</v>
      </c>
    </row>
    <row r="5" spans="1:3" x14ac:dyDescent="0.3">
      <c r="A5" s="3">
        <v>0.7103825136612022</v>
      </c>
      <c r="B5">
        <v>1.8078047179704599</v>
      </c>
      <c r="C5">
        <f t="shared" si="0"/>
        <v>1.8078047179704598E-2</v>
      </c>
    </row>
    <row r="6" spans="1:3" x14ac:dyDescent="0.3">
      <c r="A6" s="3">
        <v>0.95901639344262291</v>
      </c>
      <c r="B6">
        <v>1.76797579339754</v>
      </c>
      <c r="C6">
        <f t="shared" si="0"/>
        <v>1.7679757933975401E-2</v>
      </c>
    </row>
    <row r="7" spans="1:3" x14ac:dyDescent="0.3">
      <c r="A7" s="3">
        <v>1.2098540145985401</v>
      </c>
      <c r="B7">
        <v>1.7372082077884901</v>
      </c>
      <c r="C7">
        <f t="shared" si="0"/>
        <v>1.73720820778849E-2</v>
      </c>
    </row>
    <row r="8" spans="1:3" x14ac:dyDescent="0.3">
      <c r="A8" s="3">
        <v>1.4589416058394162</v>
      </c>
      <c r="B8">
        <v>1.7129371085184499</v>
      </c>
      <c r="C8">
        <f t="shared" si="0"/>
        <v>1.7129371085184499E-2</v>
      </c>
    </row>
    <row r="9" spans="1:3" x14ac:dyDescent="0.3">
      <c r="A9" s="3">
        <v>1.7080291970802921</v>
      </c>
      <c r="B9">
        <v>1.69545072802109</v>
      </c>
      <c r="C9">
        <f t="shared" si="0"/>
        <v>1.69545072802109E-2</v>
      </c>
    </row>
    <row r="10" spans="1:3" x14ac:dyDescent="0.3">
      <c r="A10" s="3">
        <v>2.0123203285420943</v>
      </c>
      <c r="B10">
        <v>1.6982862062403301</v>
      </c>
      <c r="C10">
        <f t="shared" si="0"/>
        <v>1.6982862062403303E-2</v>
      </c>
    </row>
    <row r="11" spans="1:3" x14ac:dyDescent="0.3">
      <c r="A11" s="3">
        <v>3.0093099671412924</v>
      </c>
      <c r="B11">
        <v>1.6895722034079099</v>
      </c>
      <c r="C11">
        <f t="shared" si="0"/>
        <v>1.6895722034079099E-2</v>
      </c>
    </row>
    <row r="12" spans="1:3" x14ac:dyDescent="0.3">
      <c r="A12" s="3">
        <v>4.007299270072993</v>
      </c>
      <c r="B12">
        <v>1.70412547556635</v>
      </c>
      <c r="C12">
        <f t="shared" si="0"/>
        <v>1.7041254755663499E-2</v>
      </c>
    </row>
    <row r="13" spans="1:3" x14ac:dyDescent="0.3">
      <c r="A13" s="3">
        <v>5.0097770825185766</v>
      </c>
      <c r="B13">
        <v>1.73057740789062</v>
      </c>
      <c r="C13">
        <f t="shared" si="0"/>
        <v>1.73057740789062E-2</v>
      </c>
    </row>
    <row r="14" spans="1:3" x14ac:dyDescent="0.3">
      <c r="A14" s="3">
        <v>6.0150581793292268</v>
      </c>
      <c r="B14">
        <v>1.76532734565722</v>
      </c>
      <c r="C14">
        <f t="shared" si="0"/>
        <v>1.7653273456572201E-2</v>
      </c>
    </row>
    <row r="15" spans="1:3" x14ac:dyDescent="0.3">
      <c r="A15" s="3">
        <v>7.0121691512017037</v>
      </c>
      <c r="B15">
        <v>1.8016358558287799</v>
      </c>
      <c r="C15">
        <f t="shared" si="0"/>
        <v>1.8016358558287801E-2</v>
      </c>
    </row>
    <row r="16" spans="1:3" x14ac:dyDescent="0.3">
      <c r="A16" s="3">
        <v>8.0098549137695034</v>
      </c>
      <c r="B16">
        <v>1.8359155996243299</v>
      </c>
      <c r="C16">
        <f t="shared" si="0"/>
        <v>1.8359155996243298E-2</v>
      </c>
    </row>
    <row r="17" spans="1:3" x14ac:dyDescent="0.3">
      <c r="A17" s="3">
        <v>9.0097063215530113</v>
      </c>
      <c r="B17">
        <v>1.8705584606739201</v>
      </c>
      <c r="C17">
        <f t="shared" si="0"/>
        <v>1.8705584606739201E-2</v>
      </c>
    </row>
    <row r="18" spans="1:3" x14ac:dyDescent="0.3">
      <c r="A18" s="3">
        <v>10.009582477754963</v>
      </c>
      <c r="B18">
        <v>1.9044403974696</v>
      </c>
      <c r="C18">
        <f t="shared" si="0"/>
        <v>1.9044403974695999E-2</v>
      </c>
    </row>
    <row r="19" spans="1:3" x14ac:dyDescent="0.3">
      <c r="A19" s="3">
        <v>11.009477674810446</v>
      </c>
      <c r="B19">
        <v>1.93837254859317</v>
      </c>
      <c r="C19">
        <f t="shared" si="0"/>
        <v>1.9383725485931699E-2</v>
      </c>
    </row>
    <row r="20" spans="1:3" x14ac:dyDescent="0.3">
      <c r="A20" s="3">
        <v>12.012514665623778</v>
      </c>
      <c r="B20">
        <v>1.9640892147434501</v>
      </c>
      <c r="C20">
        <f t="shared" si="0"/>
        <v>1.9640892147434502E-2</v>
      </c>
    </row>
    <row r="21" spans="1:3" x14ac:dyDescent="0.3">
      <c r="A21" s="3">
        <v>15.009502335319697</v>
      </c>
      <c r="B21">
        <v>2.02811508674352</v>
      </c>
      <c r="C21">
        <f t="shared" si="0"/>
        <v>2.0281150867435201E-2</v>
      </c>
    </row>
    <row r="22" spans="1:3" x14ac:dyDescent="0.3">
      <c r="A22" s="3">
        <v>20.006968641114984</v>
      </c>
      <c r="B22">
        <v>2.08935949199787</v>
      </c>
      <c r="C22">
        <f t="shared" si="0"/>
        <v>2.0893594919978699E-2</v>
      </c>
    </row>
    <row r="23" spans="1:3" x14ac:dyDescent="0.3">
      <c r="A23" s="3">
        <v>25.009632934496047</v>
      </c>
      <c r="B23">
        <v>2.10993573774156</v>
      </c>
      <c r="C23">
        <f t="shared" si="0"/>
        <v>2.1099357377415598E-2</v>
      </c>
    </row>
    <row r="24" spans="1:3" x14ac:dyDescent="0.3">
      <c r="A24" s="3">
        <v>30.012320328542096</v>
      </c>
      <c r="B24">
        <v>2.1118977490252702</v>
      </c>
      <c r="C24">
        <f t="shared" si="0"/>
        <v>2.11189774902527E-2</v>
      </c>
    </row>
    <row r="25" spans="1:3" x14ac:dyDescent="0.3">
      <c r="A25" s="3">
        <v>40.012385111791929</v>
      </c>
      <c r="B25">
        <v>2.06432002566563</v>
      </c>
      <c r="C25">
        <f t="shared" si="0"/>
        <v>2.0643200256656301E-2</v>
      </c>
    </row>
    <row r="26" spans="1:3" x14ac:dyDescent="0.3">
      <c r="A26" s="3">
        <v>50.009582477754961</v>
      </c>
      <c r="B26">
        <v>2.0008712317739299</v>
      </c>
      <c r="C26">
        <f t="shared" si="0"/>
        <v>2.0008712317739298E-2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8DA0-0652-454D-A067-75B212155B69}">
  <sheetPr codeName="Sheet6"/>
  <dimension ref="A1:C28"/>
  <sheetViews>
    <sheetView workbookViewId="0">
      <selection activeCell="E6" sqref="E6"/>
    </sheetView>
  </sheetViews>
  <sheetFormatPr defaultRowHeight="14.4" x14ac:dyDescent="0.3"/>
  <cols>
    <col min="1" max="1" width="13" customWidth="1"/>
  </cols>
  <sheetData>
    <row r="1" spans="1:3" x14ac:dyDescent="0.3">
      <c r="A1" s="4" t="s">
        <v>102</v>
      </c>
      <c r="B1" s="4" t="s">
        <v>103</v>
      </c>
      <c r="C1" t="s">
        <v>104</v>
      </c>
    </row>
    <row r="2" spans="1:3" x14ac:dyDescent="0.3">
      <c r="A2" s="3">
        <v>0</v>
      </c>
      <c r="C2">
        <f>B2/100</f>
        <v>0</v>
      </c>
    </row>
    <row r="3" spans="1:3" x14ac:dyDescent="0.3">
      <c r="A3" s="3">
        <v>1.643835616438356E-2</v>
      </c>
      <c r="B3">
        <v>1.55012235241037</v>
      </c>
      <c r="C3">
        <f t="shared" ref="C3:C28" si="0">B3/100</f>
        <v>1.5501223524103699E-2</v>
      </c>
    </row>
    <row r="4" spans="1:3" x14ac:dyDescent="0.3">
      <c r="A4" s="3">
        <v>2.7397260273972601E-2</v>
      </c>
      <c r="B4">
        <v>1.56189184653806</v>
      </c>
      <c r="C4">
        <f t="shared" si="0"/>
        <v>1.5618918465380599E-2</v>
      </c>
    </row>
    <row r="5" spans="1:3" x14ac:dyDescent="0.3">
      <c r="A5" s="3">
        <v>4.6575342465753428E-2</v>
      </c>
      <c r="B5">
        <v>1.5616742332074101</v>
      </c>
      <c r="C5">
        <f t="shared" si="0"/>
        <v>1.56167423320741E-2</v>
      </c>
    </row>
    <row r="6" spans="1:3" x14ac:dyDescent="0.3">
      <c r="A6" s="3">
        <v>6.575342465753424E-2</v>
      </c>
      <c r="B6">
        <v>1.56233326993573</v>
      </c>
      <c r="C6">
        <f t="shared" si="0"/>
        <v>1.56233326993573E-2</v>
      </c>
    </row>
    <row r="7" spans="1:3" x14ac:dyDescent="0.3">
      <c r="A7" s="3">
        <v>9.3150684931506855E-2</v>
      </c>
      <c r="B7">
        <v>1.5648114473369299</v>
      </c>
      <c r="C7">
        <f t="shared" si="0"/>
        <v>1.56481144733693E-2</v>
      </c>
    </row>
    <row r="8" spans="1:3" x14ac:dyDescent="0.3">
      <c r="A8" s="3">
        <v>0.1721311475409836</v>
      </c>
      <c r="B8">
        <v>1.56906701754012</v>
      </c>
      <c r="C8">
        <f t="shared" si="0"/>
        <v>1.5690670175401201E-2</v>
      </c>
    </row>
    <row r="9" spans="1:3" x14ac:dyDescent="0.3">
      <c r="A9" s="3">
        <v>0.25683060109289618</v>
      </c>
      <c r="B9">
        <v>1.57045565295195</v>
      </c>
      <c r="C9">
        <f t="shared" si="0"/>
        <v>1.5704556529519499E-2</v>
      </c>
    </row>
    <row r="10" spans="1:3" x14ac:dyDescent="0.3">
      <c r="A10" s="3">
        <v>0.34153005464480873</v>
      </c>
      <c r="B10">
        <v>1.5679134558561201</v>
      </c>
      <c r="C10">
        <f t="shared" si="0"/>
        <v>1.5679134558561202E-2</v>
      </c>
    </row>
    <row r="11" spans="1:3" x14ac:dyDescent="0.3">
      <c r="A11" s="3">
        <v>0.42349726775956287</v>
      </c>
      <c r="B11">
        <v>1.5649600119360501</v>
      </c>
      <c r="C11">
        <f t="shared" si="0"/>
        <v>1.56496001193605E-2</v>
      </c>
    </row>
    <row r="12" spans="1:3" x14ac:dyDescent="0.3">
      <c r="A12" s="3">
        <v>0.50546448087431695</v>
      </c>
      <c r="B12">
        <v>1.5590117173748499</v>
      </c>
      <c r="C12">
        <f t="shared" si="0"/>
        <v>1.5590117173748499E-2</v>
      </c>
    </row>
    <row r="13" spans="1:3" x14ac:dyDescent="0.3">
      <c r="A13" s="3">
        <v>0.76229508196721307</v>
      </c>
      <c r="B13">
        <v>1.5401613004540899</v>
      </c>
      <c r="C13">
        <f t="shared" si="0"/>
        <v>1.5401613004540899E-2</v>
      </c>
    </row>
    <row r="14" spans="1:3" x14ac:dyDescent="0.3">
      <c r="A14" s="3">
        <v>1.0127737226277373</v>
      </c>
      <c r="B14">
        <v>1.5161530665466401</v>
      </c>
      <c r="C14">
        <f t="shared" si="0"/>
        <v>1.51615306654664E-2</v>
      </c>
    </row>
    <row r="15" spans="1:3" x14ac:dyDescent="0.3">
      <c r="A15" s="3">
        <v>1.5136861313868615</v>
      </c>
      <c r="B15">
        <v>1.47111892323495</v>
      </c>
      <c r="C15">
        <f t="shared" si="0"/>
        <v>1.47111892323495E-2</v>
      </c>
    </row>
    <row r="16" spans="1:3" x14ac:dyDescent="0.3">
      <c r="A16" s="3">
        <v>2.0095824777549622</v>
      </c>
      <c r="B16">
        <v>1.4548237039041101</v>
      </c>
      <c r="C16">
        <f t="shared" si="0"/>
        <v>1.4548237039041101E-2</v>
      </c>
    </row>
    <row r="17" spans="1:3" x14ac:dyDescent="0.3">
      <c r="A17" s="3">
        <v>3.0093099671412924</v>
      </c>
      <c r="B17">
        <v>1.45382224315287</v>
      </c>
      <c r="C17">
        <f t="shared" si="0"/>
        <v>1.45382224315287E-2</v>
      </c>
    </row>
    <row r="18" spans="1:3" x14ac:dyDescent="0.3">
      <c r="A18" s="3">
        <v>4.007299270072993</v>
      </c>
      <c r="B18">
        <v>1.46913224370224</v>
      </c>
      <c r="C18">
        <f t="shared" si="0"/>
        <v>1.4691322437022401E-2</v>
      </c>
    </row>
    <row r="19" spans="1:3" x14ac:dyDescent="0.3">
      <c r="A19" s="3">
        <v>5.0097770825185766</v>
      </c>
      <c r="B19">
        <v>1.49479303926581</v>
      </c>
      <c r="C19">
        <f t="shared" si="0"/>
        <v>1.49479303926581E-2</v>
      </c>
    </row>
    <row r="20" spans="1:3" x14ac:dyDescent="0.3">
      <c r="A20" s="3">
        <v>7.0121691512017037</v>
      </c>
      <c r="B20">
        <v>1.56690501787928</v>
      </c>
      <c r="C20">
        <f t="shared" si="0"/>
        <v>1.56690501787928E-2</v>
      </c>
    </row>
    <row r="21" spans="1:3" x14ac:dyDescent="0.3">
      <c r="A21" s="3">
        <v>10.009582477754963</v>
      </c>
      <c r="B21">
        <v>1.6693578757282801</v>
      </c>
      <c r="C21">
        <f t="shared" si="0"/>
        <v>1.66935787572828E-2</v>
      </c>
    </row>
    <row r="22" spans="1:3" x14ac:dyDescent="0.3">
      <c r="A22" s="3">
        <v>12.012514665623778</v>
      </c>
      <c r="B22">
        <v>1.7289384567874999</v>
      </c>
      <c r="C22">
        <f t="shared" si="0"/>
        <v>1.7289384567874998E-2</v>
      </c>
    </row>
    <row r="23" spans="1:3" x14ac:dyDescent="0.3">
      <c r="A23" s="3">
        <v>15.009502335319697</v>
      </c>
      <c r="B23">
        <v>1.79136900243888</v>
      </c>
      <c r="C23">
        <f t="shared" si="0"/>
        <v>1.7913690024388799E-2</v>
      </c>
    </row>
    <row r="24" spans="1:3" x14ac:dyDescent="0.3">
      <c r="A24" s="3">
        <v>20.006968641114984</v>
      </c>
      <c r="B24">
        <v>1.85113102174146</v>
      </c>
      <c r="C24">
        <f t="shared" si="0"/>
        <v>1.85113102174146E-2</v>
      </c>
    </row>
    <row r="25" spans="1:3" x14ac:dyDescent="0.3">
      <c r="A25" s="3">
        <v>25.009632934496047</v>
      </c>
      <c r="B25">
        <v>1.8701781873041099</v>
      </c>
      <c r="C25">
        <f t="shared" si="0"/>
        <v>1.8701781873041098E-2</v>
      </c>
    </row>
    <row r="26" spans="1:3" x14ac:dyDescent="0.3">
      <c r="A26" s="3">
        <v>30.009582477754961</v>
      </c>
      <c r="B26">
        <v>1.8722426047946199</v>
      </c>
      <c r="C26">
        <f t="shared" si="0"/>
        <v>1.8722426047946199E-2</v>
      </c>
    </row>
    <row r="27" spans="1:3" x14ac:dyDescent="0.3">
      <c r="A27" s="3">
        <v>40.012385111791929</v>
      </c>
      <c r="B27">
        <v>1.8248124284374201</v>
      </c>
      <c r="C27">
        <f t="shared" si="0"/>
        <v>1.8248124284374202E-2</v>
      </c>
    </row>
    <row r="28" spans="1:3" x14ac:dyDescent="0.3">
      <c r="A28" s="3">
        <v>50.009582477754961</v>
      </c>
      <c r="B28">
        <v>1.76148120728845</v>
      </c>
      <c r="C28">
        <f t="shared" si="0"/>
        <v>1.7614812072884501E-2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Reset Rates + Convex</vt:lpstr>
      <vt:lpstr>CMS cashflows</vt:lpstr>
      <vt:lpstr>BBG Screenshot</vt:lpstr>
      <vt:lpstr>Manual Calc</vt:lpstr>
      <vt:lpstr>USD LIBOR3M</vt:lpstr>
      <vt:lpstr>USDOIS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Verelst</dc:creator>
  <cp:lastModifiedBy>Vincent Verelst</cp:lastModifiedBy>
  <dcterms:created xsi:type="dcterms:W3CDTF">2020-10-30T13:29:30Z</dcterms:created>
  <dcterms:modified xsi:type="dcterms:W3CDTF">2020-11-02T13:48:18Z</dcterms:modified>
</cp:coreProperties>
</file>